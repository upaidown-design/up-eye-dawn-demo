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425f2610cd45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b74ed62410ff4712"/>
    <x:sheet xmlns:r="http://schemas.openxmlformats.org/officeDocument/2006/relationships" name="Assumptions" sheetId="2" r:id="R11064d29d141423a"/>
    <x:sheet xmlns:r="http://schemas.openxmlformats.org/officeDocument/2006/relationships" name="Monthly Model" sheetId="3" r:id="Rfd8affaf43e942e4"/>
    <x:sheet xmlns:r="http://schemas.openxmlformats.org/officeDocument/2006/relationships" name="Scenario Summary" sheetId="4" r:id="R4788963a1eb24f18"/>
    <x:sheet xmlns:r="http://schemas.openxmlformats.org/officeDocument/2006/relationships" name="Use of Funds" sheetId="5" r:id="Rc5487ff2ffe346cd"/>
    <x:sheet xmlns:r="http://schemas.openxmlformats.org/officeDocument/2006/relationships" name="Round Analysis" sheetId="6" r:id="R9738b97c272040c3"/>
    <x:sheet xmlns:r="http://schemas.openxmlformats.org/officeDocument/2006/relationships" name="EBITDA Target" sheetId="7" r:id="R872c292207624889"/>
    <x:sheet xmlns:r="http://schemas.openxmlformats.org/officeDocument/2006/relationships" name="Negotiation" sheetId="8" r:id="R40785b6a18134316"/>
    <x:sheet xmlns:r="http://schemas.openxmlformats.org/officeDocument/2006/relationships" name="Investor Q&amp;A" sheetId="9" r:id="R4c6d643671d04d29"/>
    <x:sheet xmlns:r="http://schemas.openxmlformats.org/officeDocument/2006/relationships" name="Checks" sheetId="10" r:id="R910d65248cad417d"/>
    <x:sheet xmlns:r="http://schemas.openxmlformats.org/officeDocument/2006/relationships" name="Sources" sheetId="11" r:id="R51cf2371e8f74e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€#,##0;[Red](€#,##0);-"/>
    <x:numFmt numFmtId="201" formatCode="0.0%;[Red](0.0%);-"/>
    <x:numFmt numFmtId="202" formatCode="0.0 &quot;months&quot;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71721"/>
      <x:name val="Carlito"/>
    </x:font>
    <x:font>
      <x:b/>
      <x:sz val="11"/>
      <x:color rgb="FFB42318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8"/>
      <x:color rgb="FF667085"/>
      <x:name val="Carlito"/>
    </x:font>
    <x:font>
      <x:b/>
      <x:sz val="11"/>
      <x:name val="Carlito"/>
    </x:font>
    <x:font>
      <x:b/>
      <x:sz val="11"/>
      <x:color rgb="FF027A4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71721"/>
      </x:patternFill>
    </x:fill>
    <x:fill>
      <x:patternFill patternType="solid">
        <x:fgColor rgb="FFFFF2CC"/>
      </x:patternFill>
    </x:fill>
    <x:fill>
      <x:patternFill patternType="solid">
        <x:fgColor rgb="FF16313D"/>
      </x:patternFill>
    </x:fill>
    <x:fill>
      <x:patternFill patternType="solid">
        <x:fgColor rgb="FFE8F2F1"/>
      </x:patternFill>
    </x:fill>
    <x:fill>
      <x:patternFill patternType="solid">
        <x:fgColor rgb="FFFFFBE6"/>
      </x:patternFill>
    </x:fill>
    <x:fill>
      <x:patternFill patternType="solid">
        <x:fgColor rgb="FFD1FADF"/>
      </x:patternFill>
    </x:fill>
  </x:fills>
  <x:borders count="12">
    <x:border/>
    <x:border>
      <x:left style="thin">
        <x:color rgb="FF33505C"/>
      </x:left>
      <x:right style="thin">
        <x:color rgb="FF33505C"/>
      </x:right>
      <x:top style="thin">
        <x:color rgb="FF33505C"/>
      </x:top>
      <x:bottom style="thin">
        <x:color rgb="FF33505C"/>
      </x:bottom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double">
        <x:color rgb="FF071721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200" fontId="5" fillId="6" borderId="0" xfId="0" applyNumberFormat="1" applyFont="1" applyFill="1" applyBorder="1"/>
    <x:xf numFmtId="0" fontId="5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5" fillId="0" borderId="3" xfId="0" applyNumberFormat="1" applyFont="1" applyFill="1" applyBorder="1"/>
    <x:xf numFmtId="200" fontId="5" fillId="6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5" fillId="0" borderId="6" xfId="0" applyNumberFormat="1" applyFont="1" applyFill="1" applyBorder="1"/>
    <x:xf numFmtId="200" fontId="5" fillId="6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5" fillId="0" borderId="9" xfId="0" applyNumberFormat="1" applyFont="1" applyFill="1" applyBorder="1"/>
    <x:xf numFmtId="200" fontId="5" fillId="6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200" fontId="5" fillId="6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200" fontId="5" fillId="6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200" fontId="5" fillId="6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201" fontId="5" fillId="6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0" fontId="7" fillId="0" borderId="11" xfId="0" applyNumberFormat="1" applyFont="1" applyFill="1" applyBorder="1"/>
    <x:xf numFmtId="200" fontId="7" fillId="0" borderId="11" xfId="0" applyNumberFormat="1" applyFont="1" applyFill="1" applyBorder="1"/>
    <x:xf numFmtId="200" fontId="0" fillId="5" borderId="0" xfId="0" applyNumberFormat="1" applyFont="1" applyFill="1" applyBorder="1"/>
    <x:xf numFmtId="0" fontId="7" fillId="5" borderId="0" xfId="0" applyNumberFormat="1" applyFont="1" applyFill="1" applyBorder="1"/>
    <x:xf numFmtId="200" fontId="7" fillId="5" borderId="0" xfId="0" applyNumberFormat="1" applyFont="1" applyFill="1" applyBorder="1"/>
    <x:xf numFmtId="200" fontId="4" fillId="4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b917a450184a32" /><Relationship Type="http://schemas.openxmlformats.org/officeDocument/2006/relationships/theme" Target="/xl/theme/theme1.xml" Id="R61f69aaadd14481f" /><Relationship Type="http://schemas.openxmlformats.org/officeDocument/2006/relationships/sharedStrings" Target="/xl/sharedStrings.xml" Id="R4e7ced48f0c64b3b" /><Relationship Type="http://schemas.openxmlformats.org/officeDocument/2006/relationships/worksheet" Target="/xl/worksheets/sheet1.xml" Id="Rb74ed62410ff4712" /><Relationship Type="http://schemas.openxmlformats.org/officeDocument/2006/relationships/worksheet" Target="/xl/worksheets/sheet2.xml" Id="R11064d29d141423a" /><Relationship Type="http://schemas.openxmlformats.org/officeDocument/2006/relationships/worksheet" Target="/xl/worksheets/sheet3.xml" Id="Rfd8affaf43e942e4" /><Relationship Type="http://schemas.openxmlformats.org/officeDocument/2006/relationships/worksheet" Target="/xl/worksheets/sheet4.xml" Id="R4788963a1eb24f18" /><Relationship Type="http://schemas.openxmlformats.org/officeDocument/2006/relationships/worksheet" Target="/xl/worksheets/sheet5.xml" Id="Rc5487ff2ffe346cd" /><Relationship Type="http://schemas.openxmlformats.org/officeDocument/2006/relationships/worksheet" Target="/xl/worksheets/sheet6.xml" Id="R9738b97c272040c3" /><Relationship Type="http://schemas.openxmlformats.org/officeDocument/2006/relationships/worksheet" Target="/xl/worksheets/sheet7.xml" Id="R872c292207624889" /><Relationship Type="http://schemas.openxmlformats.org/officeDocument/2006/relationships/worksheet" Target="/xl/worksheets/sheet8.xml" Id="R40785b6a18134316" /><Relationship Type="http://schemas.openxmlformats.org/officeDocument/2006/relationships/worksheet" Target="/xl/worksheets/sheet9.xml" Id="R4c6d643671d04d29" /><Relationship Type="http://schemas.openxmlformats.org/officeDocument/2006/relationships/worksheet" Target="/xl/worksheets/sheet10.xml" Id="R910d65248cad417d" /><Relationship Type="http://schemas.openxmlformats.org/officeDocument/2006/relationships/worksheet" Target="/xl/worksheets/sheet11.xml" Id="R51cf2371e8f74e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4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3" t="str">
        <x:v>UP-EYE-DAWN — Financial Model &amp; Fundraising Strategy</x:v>
      </x:c>
      <x:c r="B1" s="3" t="str">
        <x:v>UP-EYE-DAWN — Financial Model &amp; Fundraising Strategy</x:v>
      </x:c>
      <x:c r="C1" s="3" t="str">
        <x:v>UP-EYE-DAWN — Financial Model &amp; Fundraising Strategy</x:v>
      </x:c>
      <x:c r="D1" s="3" t="str">
        <x:v>UP-EYE-DAWN — Financial Model &amp; Fundraising Strategy</x:v>
      </x:c>
      <x:c r="E1" s="3" t="str">
        <x:v>UP-EYE-DAWN — Financial Model &amp; Fundraising Strategy</x:v>
      </x:c>
      <x:c r="F1" s="3" t="str">
        <x:v>UP-EYE-DAWN — Financial Model &amp; Fundraising Strategy</x:v>
      </x:c>
      <x:c r="G1" s="3" t="str">
        <x:v>UP-EYE-DAWN — Financial Model &amp; Fundraising Strategy</x:v>
      </x:c>
      <x:c r="H1" s="3" t="str">
        <x:v>UP-EYE-DAWN — Financial Model &amp; Fundraising Strategy</x:v>
      </x:c>
    </x:row>
    <x:row r="2" ht="32" customHeight="1">
      <x:c r="A2" s="3" t="str">
        <x:v>UP-EYE-DAWN — Financial Model &amp; Fundraising Strategy</x:v>
      </x:c>
      <x:c r="B2" s="3" t="str">
        <x:v>UP-EYE-DAWN — Financial Model &amp; Fundraising Strategy</x:v>
      </x:c>
      <x:c r="C2" s="3" t="str">
        <x:v>UP-EYE-DAWN — Financial Model &amp; Fundraising Strategy</x:v>
      </x:c>
      <x:c r="D2" s="3" t="str">
        <x:v>UP-EYE-DAWN — Financial Model &amp; Fundraising Strategy</x:v>
      </x:c>
      <x:c r="E2" s="3" t="str">
        <x:v>UP-EYE-DAWN — Financial Model &amp; Fundraising Strategy</x:v>
      </x:c>
      <x:c r="F2" s="3" t="str">
        <x:v>UP-EYE-DAWN — Financial Model &amp; Fundraising Strategy</x:v>
      </x:c>
      <x:c r="G2" s="3" t="str">
        <x:v>UP-EYE-DAWN — Financial Model &amp; Fundraising Strategy</x:v>
      </x:c>
      <x:c r="H2" s="3" t="str">
        <x:v>UP-EYE-DAWN — Financial Model &amp; Fundraising Strategy</x:v>
      </x:c>
    </x:row>
    <x:row r="4">
      <x:c r="A4" s="4" t="str">
        <x:v>Version</x:v>
      </x:c>
      <x:c r="B4" t="str">
        <x:v>1.0</x:v>
      </x:c>
    </x:row>
    <x:row r="5">
      <x:c r="A5" s="4" t="str">
        <x:v>As of</x:v>
      </x:c>
      <x:c r="B5" t="str">
        <x:v>2026-08-16</x:v>
      </x:c>
    </x:row>
    <x:row r="6">
      <x:c r="A6" s="4" t="str">
        <x:v>Currency</x:v>
      </x:c>
      <x:c r="B6" t="str">
        <x:v>EUR</x:v>
      </x:c>
    </x:row>
    <x:row r="7">
      <x:c r="A7" s="4" t="str">
        <x:v>Period</x:v>
      </x:c>
      <x:c r="B7" t="str">
        <x:v>M0–M15 monthly; M24-ready</x:v>
      </x:c>
    </x:row>
    <x:row r="8">
      <x:c r="A8" s="4" t="str">
        <x:v>Model status</x:v>
      </x:c>
      <x:c r="B8" s="6" t="str">
        <x:v>MODELLED_NOT_APPROVED</x:v>
      </x:c>
    </x:row>
    <x:row r="9">
      <x:c r="A9" s="4" t="str">
        <x:v>Verdict</x:v>
      </x:c>
      <x:c r="B9" t="str">
        <x:v>READY_WITH_INPUTS_PENDING</x:v>
      </x:c>
    </x:row>
    <x:row r="10">
      <x:c r="A10" s="4" t="str">
        <x:v>Revenue policy</x:v>
      </x:c>
      <x:c r="B10" t="str">
        <x:v>Zero until approved drivers exist</x:v>
      </x:c>
    </x:row>
    <x:row r="11">
      <x:c r="A11" s="4" t="str">
        <x:v>Owner</x:v>
      </x:c>
      <x:c r="B11" t="str">
        <x:v>Founder / Finance</x:v>
      </x:c>
    </x:row>
    <x:row r="12">
      <x:c r="A12" s="4" t="str">
        <x:v>Purpose</x:v>
      </x:c>
      <x:c r="B12" t="str">
        <x:v>Investor planning and internal negotiation — not an approved forecast</x:v>
      </x:c>
    </x:row>
    <x:row r="14">
      <x:c r="A14" s="8" t="str">
        <x:v>PROVISIONAL CAPITAL ENVELOPES — MODEL OUTPUTS, NOT APPROVED TERMS</x:v>
      </x:c>
      <x:c r="B14" s="8" t="str">
        <x:v>PROVISIONAL CAPITAL ENVELOPES — MODEL OUTPUTS, NOT APPROVED TERMS</x:v>
      </x:c>
      <x:c r="C14" s="8" t="str">
        <x:v>PROVISIONAL CAPITAL ENVELOPES — MODEL OUTPUTS, NOT APPROVED TERMS</x:v>
      </x:c>
      <x:c r="D14" s="8" t="str">
        <x:v>PROVISIONAL CAPITAL ENVELOPES — MODEL OUTPUTS, NOT APPROVED TERMS</x:v>
      </x:c>
      <x:c r="E14" s="8" t="str">
        <x:v>PROVISIONAL CAPITAL ENVELOPES — MODEL OUTPUTS, NOT APPROVED TERMS</x:v>
      </x:c>
      <x:c r="F14" s="8" t="str">
        <x:v>PROVISIONAL CAPITAL ENVELOPES — MODEL OUTPUTS, NOT APPROVED TERMS</x:v>
      </x:c>
      <x:c r="G14" s="8" t="str">
        <x:v>PROVISIONAL CAPITAL ENVELOPES — MODEL OUTPUTS, NOT APPROVED TERMS</x:v>
      </x:c>
      <x:c r="H14" s="8" t="str">
        <x:v>PROVISIONAL CAPITAL ENVELOPES — MODEL OUTPUTS, NOT APPROVED TERMS</x:v>
      </x:c>
    </x:row>
    <x:row r="15">
      <x:c r="A15" s="13" t="str">
        <x:v>Envelope</x:v>
      </x:c>
      <x:c r="B15" s="13" t="str">
        <x:v>Amount</x:v>
      </x:c>
      <x:c r="C15" s="13" t="str">
        <x:v>Basis</x:v>
      </x:c>
      <x:c r="D15" s="13" t="str">
        <x:v>Status</x:v>
      </x:c>
    </x:row>
    <x:row r="16">
      <x:c r="A16" t="str">
        <x:v>Minimum viable</x:v>
      </x:c>
      <x:c r="B16" s="14" t="n">
        <x:v>400000</x:v>
      </x:c>
      <x:c r="C16" t="str">
        <x:v>Lean M0-M12 plus 5% contingency</x:v>
      </x:c>
      <x:c r="D16" s="6" t="str">
        <x:v>DECISION_REQUIRED</x:v>
      </x:c>
    </x:row>
    <x:row r="17">
      <x:c r="A17" t="str">
        <x:v>Recommended</x:v>
      </x:c>
      <x:c r="B17" s="14" t="n">
        <x:v>890000</x:v>
      </x:c>
      <x:c r="C17" t="str">
        <x:v>Base M0-M15 plus 10% contingency</x:v>
      </x:c>
      <x:c r="D17" s="6" t="str">
        <x:v>DECISION_REQUIRED</x:v>
      </x:c>
    </x:row>
    <x:row r="18">
      <x:c r="A18" t="str">
        <x:v>Comfortable</x:v>
      </x:c>
      <x:c r="B18" s="14" t="n">
        <x:v>1660000</x:v>
      </x:c>
      <x:c r="C18" t="str">
        <x:v>Accelerated M0-M15 plus 15% contingency</x:v>
      </x:c>
      <x:c r="D18" s="6" t="str">
        <x:v>DECISION_REQUIRED</x:v>
      </x:c>
    </x:row>
    <x:row r="20">
      <x:c r="A20" s="8" t="str">
        <x:v>HOW TO USE</x:v>
      </x:c>
      <x:c r="B20" s="8" t="str">
        <x:v>HOW TO USE</x:v>
      </x:c>
      <x:c r="C20" s="8" t="str">
        <x:v>HOW TO USE</x:v>
      </x:c>
      <x:c r="D20" s="8" t="str">
        <x:v>HOW TO USE</x:v>
      </x:c>
      <x:c r="E20" s="8" t="str">
        <x:v>HOW TO USE</x:v>
      </x:c>
      <x:c r="F20" s="8" t="str">
        <x:v>HOW TO USE</x:v>
      </x:c>
      <x:c r="G20" s="8" t="str">
        <x:v>HOW TO USE</x:v>
      </x:c>
      <x:c r="H20" s="8" t="str">
        <x:v>HOW TO USE</x:v>
      </x:c>
    </x:row>
    <x:row r="21">
      <x:c r="A21" s="17" t="str">
        <x:v>Edit only blue-font inputs on Assumptions. All calculations are formula-driven. DOCUMENTED_ESTIMATE is source-backed but preliminary; MANAGEMENT_ASSUMPTION is provisional; TO_QUOTE and TO_VALIDATE remain open. Current round terms stay null until founder/board approval.</x:v>
      </x:c>
      <x:c r="B21" s="17"/>
      <x:c r="C21" s="17"/>
      <x:c r="D21" s="17"/>
      <x:c r="E21" s="17"/>
      <x:c r="F21" s="17"/>
      <x:c r="G21" s="17"/>
      <x:c r="H21" s="17"/>
    </x:row>
    <x:row r="22">
      <x:c r="A22" s="17"/>
      <x:c r="B22" s="17"/>
      <x:c r="C22" s="17"/>
      <x:c r="D22" s="17"/>
      <x:c r="E22" s="17"/>
      <x:c r="F22" s="17"/>
      <x:c r="G22" s="17"/>
      <x:c r="H22" s="17"/>
    </x:row>
    <x:row r="23">
      <x:c r="A23" s="17"/>
      <x:c r="B23" s="17"/>
      <x:c r="C23" s="17"/>
      <x:c r="D23" s="17"/>
      <x:c r="E23" s="17"/>
      <x:c r="F23" s="17"/>
      <x:c r="G23" s="17"/>
      <x:c r="H23" s="17"/>
    </x:row>
    <x:row r="24">
      <x:c r="A24" s="17"/>
      <x:c r="B24" s="17"/>
      <x:c r="C24" s="17"/>
      <x:c r="D24" s="17"/>
      <x:c r="E24" s="17"/>
      <x:c r="F24" s="17"/>
      <x:c r="G24" s="17"/>
      <x:c r="H24" s="17"/>
    </x:row>
  </x:sheetData>
  <x:mergeCells>
    <x:mergeCell ref="A1:H2"/>
    <x:mergeCell ref="A14:H14"/>
    <x:mergeCell ref="A20:H20"/>
    <x:mergeCell ref="A21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34" hidden="0" customWidth="1"/>
    <x:col min="13" max="13" width="46" hidden="0" customWidth="1"/>
    <x:col min="1" max="1" width="18" hidden="0" customWidth="1"/>
    <x:col min="2" max="2" width="18" hidden="0" customWidth="1"/>
    <x:col min="3" max="3" width="18" hidden="0" customWidth="1"/>
    <x:col min="11" max="11" width="24" hidden="0" customWidth="1"/>
    <x:col min="12" max="12" width="24" hidden="0" customWidth="1"/>
    <x:col min="6" max="6" width="55" hidden="0" customWidth="1"/>
  </x:cols>
  <x:sheetData>
    <x:row r="1" ht="32" customHeight="1">
      <x:c r="A1" s="3" t="str">
        <x:v>Assumptions &amp; Input Register</x:v>
      </x:c>
      <x:c r="B1" s="3" t="str">
        <x:v>Assumptions &amp; Input Register</x:v>
      </x:c>
      <x:c r="C1" s="3" t="str">
        <x:v>Assumptions &amp; Input Register</x:v>
      </x:c>
      <x:c r="D1" s="3" t="str">
        <x:v>Assumptions &amp; Input Register</x:v>
      </x:c>
      <x:c r="E1" s="3" t="str">
        <x:v>Assumptions &amp; Input Register</x:v>
      </x:c>
      <x:c r="F1" s="3" t="str">
        <x:v>Assumptions &amp; Input Register</x:v>
      </x:c>
      <x:c r="G1" s="3" t="str">
        <x:v>Assumptions &amp; Input Register</x:v>
      </x:c>
      <x:c r="H1" s="3" t="str">
        <x:v>Assumptions &amp; Input Register</x:v>
      </x:c>
      <x:c r="I1" s="3" t="str">
        <x:v>Assumptions &amp; Input Register</x:v>
      </x:c>
      <x:c r="J1" s="3" t="str">
        <x:v>Assumptions &amp; Input Register</x:v>
      </x:c>
      <x:c r="K1" s="3" t="str">
        <x:v>Assumptions &amp; Input Register</x:v>
      </x:c>
      <x:c r="L1" s="3" t="str">
        <x:v>Assumptions &amp; Input Register</x:v>
      </x:c>
      <x:c r="M1" s="3" t="str">
        <x:v>Assumptions &amp; Input Register</x:v>
      </x:c>
    </x:row>
    <x:row r="2" ht="32" customHeight="1">
      <x:c r="A2" s="3" t="str">
        <x:v>Assumptions &amp; Input Register</x:v>
      </x:c>
      <x:c r="B2" s="3" t="str">
        <x:v>Assumptions &amp; Input Register</x:v>
      </x:c>
      <x:c r="C2" s="3" t="str">
        <x:v>Assumptions &amp; Input Register</x:v>
      </x:c>
      <x:c r="D2" s="3" t="str">
        <x:v>Assumptions &amp; Input Register</x:v>
      </x:c>
      <x:c r="E2" s="3" t="str">
        <x:v>Assumptions &amp; Input Register</x:v>
      </x:c>
      <x:c r="F2" s="3" t="str">
        <x:v>Assumptions &amp; Input Register</x:v>
      </x:c>
      <x:c r="G2" s="3" t="str">
        <x:v>Assumptions &amp; Input Register</x:v>
      </x:c>
      <x:c r="H2" s="3" t="str">
        <x:v>Assumptions &amp; Input Register</x:v>
      </x:c>
      <x:c r="I2" s="3" t="str">
        <x:v>Assumptions &amp; Input Register</x:v>
      </x:c>
      <x:c r="J2" s="3" t="str">
        <x:v>Assumptions &amp; Input Register</x:v>
      </x:c>
      <x:c r="K2" s="3" t="str">
        <x:v>Assumptions &amp; Input Register</x:v>
      </x:c>
      <x:c r="L2" s="3" t="str">
        <x:v>Assumptions &amp; Input Register</x:v>
      </x:c>
      <x:c r="M2" s="3" t="str">
        <x:v>Assumptions &amp; Input Register</x:v>
      </x:c>
    </x:row>
    <x:row r="4">
      <x:c r="A4" s="13" t="str">
        <x:v>ID</x:v>
      </x:c>
      <x:c r="B4" s="13" t="str">
        <x:v>Category</x:v>
      </x:c>
      <x:c r="C4" s="13" t="str">
        <x:v>Type</x:v>
      </x:c>
      <x:c r="D4" s="13" t="str">
        <x:v>Driver</x:v>
      </x:c>
      <x:c r="E4" s="13" t="str">
        <x:v>Cadence</x:v>
      </x:c>
      <x:c r="F4" s="13" t="str">
        <x:v>Start</x:v>
      </x:c>
      <x:c r="G4" s="13" t="str">
        <x:v>End</x:v>
      </x:c>
      <x:c r="H4" s="13" t="str">
        <x:v>Lean EUR</x:v>
      </x:c>
      <x:c r="I4" s="13" t="str">
        <x:v>Base EUR</x:v>
      </x:c>
      <x:c r="J4" s="13" t="str">
        <x:v>Accelerated EUR</x:v>
      </x:c>
      <x:c r="K4" s="13" t="str">
        <x:v>Classification</x:v>
      </x:c>
      <x:c r="L4" s="13" t="str">
        <x:v>Owner</x:v>
      </x:c>
      <x:c r="M4" s="13" t="str">
        <x:v>Evidence / action required</x:v>
      </x:c>
    </x:row>
    <x:row r="5" ht="34" customHeight="1">
      <x:c r="A5" s="37" t="str">
        <x:v>TEAM-01</x:v>
      </x:c>
      <x:c r="B5" s="38" t="str">
        <x:v>Team</x:v>
      </x:c>
      <x:c r="C5" s="38" t="str">
        <x:v>OPEX</x:v>
      </x:c>
      <x:c r="D5" s="38" t="str">
        <x:v>Core team and contractor capacity</x:v>
      </x:c>
      <x:c r="E5" s="38" t="str">
        <x:v>monthly</x:v>
      </x:c>
      <x:c r="F5" s="39" t="n">
        <x:v>1</x:v>
      </x:c>
      <x:c r="G5" s="39" t="n">
        <x:v>15</x:v>
      </x:c>
      <x:c r="H5" s="40" t="n">
        <x:v>18000</x:v>
      </x:c>
      <x:c r="I5" s="40" t="n">
        <x:v>30000</x:v>
      </x:c>
      <x:c r="J5" s="40" t="n">
        <x:v>50000</x:v>
      </x:c>
      <x:c r="K5" s="38" t="str">
        <x:v>MANAGEMENT_ASSUMPTION</x:v>
      </x:c>
      <x:c r="L5" s="38" t="str">
        <x:v>Founder / Finance</x:v>
      </x:c>
      <x:c r="M5" s="41" t="str">
        <x:v>Employment plan and salary bands required</x:v>
      </x:c>
    </x:row>
    <x:row r="6" ht="34" customHeight="1">
      <x:c r="A6" s="42" t="str">
        <x:v>SW-01</x:v>
      </x:c>
      <x:c r="B6" s="43" t="str">
        <x:v>Software &amp; cloud</x:v>
      </x:c>
      <x:c r="C6" s="43" t="str">
        <x:v>OPEX</x:v>
      </x:c>
      <x:c r="D6" s="43" t="str">
        <x:v>Cloud, observability, collaboration and licences</x:v>
      </x:c>
      <x:c r="E6" s="43" t="str">
        <x:v>monthly</x:v>
      </x:c>
      <x:c r="F6" s="44" t="n">
        <x:v>1</x:v>
      </x:c>
      <x:c r="G6" s="44" t="n">
        <x:v>15</x:v>
      </x:c>
      <x:c r="H6" s="45" t="n">
        <x:v>1800</x:v>
      </x:c>
      <x:c r="I6" s="45" t="n">
        <x:v>3200</x:v>
      </x:c>
      <x:c r="J6" s="45" t="n">
        <x:v>6000</x:v>
      </x:c>
      <x:c r="K6" s="43" t="str">
        <x:v>MANAGEMENT_ASSUMPTION</x:v>
      </x:c>
      <x:c r="L6" s="43" t="str">
        <x:v>CTO</x:v>
      </x:c>
      <x:c r="M6" s="46" t="str">
        <x:v>Vendor bills and architecture load test required</x:v>
      </x:c>
    </x:row>
    <x:row r="7" ht="34" customHeight="1">
      <x:c r="A7" s="42" t="str">
        <x:v>AI-01</x:v>
      </x:c>
      <x:c r="B7" s="43" t="str">
        <x:v>AI &amp; data</x:v>
      </x:c>
      <x:c r="C7" s="43" t="str">
        <x:v>OPEX</x:v>
      </x:c>
      <x:c r="D7" s="43" t="str">
        <x:v>Data labelling, model experiments and storage</x:v>
      </x:c>
      <x:c r="E7" s="43" t="str">
        <x:v>monthly</x:v>
      </x:c>
      <x:c r="F7" s="44" t="n">
        <x:v>2</x:v>
      </x:c>
      <x:c r="G7" s="44" t="n">
        <x:v>15</x:v>
      </x:c>
      <x:c r="H7" s="45" t="n">
        <x:v>1500</x:v>
      </x:c>
      <x:c r="I7" s="45" t="n">
        <x:v>3500</x:v>
      </x:c>
      <x:c r="J7" s="45" t="n">
        <x:v>7500</x:v>
      </x:c>
      <x:c r="K7" s="43" t="str">
        <x:v>MANAGEMENT_ASSUMPTION</x:v>
      </x:c>
      <x:c r="L7" s="43" t="str">
        <x:v>AI lead</x:v>
      </x:c>
      <x:c r="M7" s="46" t="str">
        <x:v>Dataset and compute plan required</x:v>
      </x:c>
    </x:row>
    <x:row r="8" ht="34" customHeight="1">
      <x:c r="A8" s="42" t="str">
        <x:v>SEN-01</x:v>
      </x:c>
      <x:c r="B8" s="43" t="str">
        <x:v>Sentinel</x:v>
      </x:c>
      <x:c r="C8" s="43" t="str">
        <x:v>CAPEX</x:v>
      </x:c>
      <x:c r="D8" s="43" t="str">
        <x:v>Documented preliminary component BOM allowance</x:v>
      </x:c>
      <x:c r="E8" s="43" t="str">
        <x:v>one_time</x:v>
      </x:c>
      <x:c r="F8" s="44" t="n">
        <x:v>2</x:v>
      </x:c>
      <x:c r="G8" s="44" t="n">
        <x:v>2</x:v>
      </x:c>
      <x:c r="H8" s="45" t="n">
        <x:v>2412</x:v>
      </x:c>
      <x:c r="I8" s="45" t="n">
        <x:v>5935</x:v>
      </x:c>
      <x:c r="J8" s="45" t="n">
        <x:v>9457</x:v>
      </x:c>
      <x:c r="K8" s="43" t="str">
        <x:v>DOCUMENTED_ESTIMATE</x:v>
      </x:c>
      <x:c r="L8" s="43" t="str">
        <x:v>Engineering</x:v>
      </x:c>
      <x:c r="M8" s="46" t="str">
        <x:v>Low/high from Sentinel BOM; midpoint used for Base</x:v>
      </x:c>
    </x:row>
    <x:row r="9" ht="34" customHeight="1">
      <x:c r="A9" s="42" t="str">
        <x:v>SEN-02</x:v>
      </x:c>
      <x:c r="B9" s="43" t="str">
        <x:v>Sentinel</x:v>
      </x:c>
      <x:c r="C9" s="43" t="str">
        <x:v>CAPEX</x:v>
      </x:c>
      <x:c r="D9" s="43" t="str">
        <x:v>Prototype integration, enclosure and test uplift</x:v>
      </x:c>
      <x:c r="E9" s="43" t="str">
        <x:v>one_time</x:v>
      </x:c>
      <x:c r="F9" s="44" t="n">
        <x:v>3</x:v>
      </x:c>
      <x:c r="G9" s="44" t="n">
        <x:v>3</x:v>
      </x:c>
      <x:c r="H9" s="45" t="n">
        <x:v>7500</x:v>
      </x:c>
      <x:c r="I9" s="45" t="n">
        <x:v>18000</x:v>
      </x:c>
      <x:c r="J9" s="45" t="n">
        <x:v>35000</x:v>
      </x:c>
      <x:c r="K9" s="43" t="str">
        <x:v>MANAGEMENT_ASSUMPTION</x:v>
      </x:c>
      <x:c r="L9" s="43" t="str">
        <x:v>Engineering</x:v>
      </x:c>
      <x:c r="M9" s="46" t="str">
        <x:v>Supplier quotations and selected configuration required</x:v>
      </x:c>
    </x:row>
    <x:row r="10" ht="34" customHeight="1">
      <x:c r="A10" s="42" t="str">
        <x:v>ROV-01</x:v>
      </x:c>
      <x:c r="B10" s="43" t="str">
        <x:v>Rover platform</x:v>
      </x:c>
      <x:c r="C10" s="43" t="str">
        <x:v>CAPEX</x:v>
      </x:c>
      <x:c r="D10" s="43" t="str">
        <x:v>Commercial tracked mobility platform allowance</x:v>
      </x:c>
      <x:c r="E10" s="43" t="str">
        <x:v>one_time</x:v>
      </x:c>
      <x:c r="F10" s="44" t="n">
        <x:v>1</x:v>
      </x:c>
      <x:c r="G10" s="44" t="n">
        <x:v>1</x:v>
      </x:c>
      <x:c r="H10" s="45" t="n">
        <x:v>18000</x:v>
      </x:c>
      <x:c r="I10" s="45" t="n">
        <x:v>30000</x:v>
      </x:c>
      <x:c r="J10" s="45" t="n">
        <x:v>45000</x:v>
      </x:c>
      <x:c r="K10" s="43" t="str">
        <x:v>TO_QUOTE</x:v>
      </x:c>
      <x:c r="L10" s="43" t="str">
        <x:v>Operations</x:v>
      </x:c>
      <x:c r="M10" s="46" t="str">
        <x:v>Written AgileX/comparable quote, freight and taxes required</x:v>
      </x:c>
    </x:row>
    <x:row r="11" ht="34" customHeight="1">
      <x:c r="A11" s="42" t="str">
        <x:v>ROV-02</x:v>
      </x:c>
      <x:c r="B11" s="43" t="str">
        <x:v>Rover integration</x:v>
      </x:c>
      <x:c r="C11" s="43" t="str">
        <x:v>CAPEX</x:v>
      </x:c>
      <x:c r="D11" s="43" t="str">
        <x:v>Structure, compute, sensors, probe and docking integration</x:v>
      </x:c>
      <x:c r="E11" s="43" t="str">
        <x:v>one_time</x:v>
      </x:c>
      <x:c r="F11" s="44" t="n">
        <x:v>2</x:v>
      </x:c>
      <x:c r="G11" s="44" t="n">
        <x:v>2</x:v>
      </x:c>
      <x:c r="H11" s="45" t="n">
        <x:v>18000</x:v>
      </x:c>
      <x:c r="I11" s="45" t="n">
        <x:v>40000</x:v>
      </x:c>
      <x:c r="J11" s="45" t="n">
        <x:v>80000</x:v>
      </x:c>
      <x:c r="K11" s="43" t="str">
        <x:v>MANAGEMENT_ASSUMPTION</x:v>
      </x:c>
      <x:c r="L11" s="43" t="str">
        <x:v>Engineering</x:v>
      </x:c>
      <x:c r="M11" s="46" t="str">
        <x:v>BOM and acceptance criteria required</x:v>
      </x:c>
    </x:row>
    <x:row r="12" ht="34" customHeight="1">
      <x:c r="A12" s="42" t="str">
        <x:v>DRN-01</x:v>
      </x:c>
      <x:c r="B12" s="43" t="str">
        <x:v>Drone</x:v>
      </x:c>
      <x:c r="C12" s="43" t="str">
        <x:v>CAPEX</x:v>
      </x:c>
      <x:c r="D12" s="43" t="str">
        <x:v>Aircraft, payload and docking integration allowance</x:v>
      </x:c>
      <x:c r="E12" s="43" t="str">
        <x:v>one_time</x:v>
      </x:c>
      <x:c r="F12" s="44" t="n">
        <x:v>3</x:v>
      </x:c>
      <x:c r="G12" s="44" t="n">
        <x:v>3</x:v>
      </x:c>
      <x:c r="H12" s="45" t="n">
        <x:v>5000</x:v>
      </x:c>
      <x:c r="I12" s="45" t="n">
        <x:v>15000</x:v>
      </x:c>
      <x:c r="J12" s="45" t="n">
        <x:v>35000</x:v>
      </x:c>
      <x:c r="K12" s="43" t="str">
        <x:v>TO_VALIDATE</x:v>
      </x:c>
      <x:c r="L12" s="43" t="str">
        <x:v>Flight lead</x:v>
      </x:c>
      <x:c r="M12" s="46" t="str">
        <x:v>Aircraft and regulatory path not selected</x:v>
      </x:c>
    </x:row>
    <x:row r="13" ht="34" customHeight="1">
      <x:c r="A13" s="42" t="str">
        <x:v>FLD-01</x:v>
      </x:c>
      <x:c r="B13" s="43" t="str">
        <x:v>Field validation</x:v>
      </x:c>
      <x:c r="C13" s="43" t="str">
        <x:v>OPEX</x:v>
      </x:c>
      <x:c r="D13" s="43" t="str">
        <x:v>Pilot preparation, agronomy, travel and measurement</x:v>
      </x:c>
      <x:c r="E13" s="43" t="str">
        <x:v>monthly</x:v>
      </x:c>
      <x:c r="F13" s="44" t="n">
        <x:v>5</x:v>
      </x:c>
      <x:c r="G13" s="44" t="n">
        <x:v>12</x:v>
      </x:c>
      <x:c r="H13" s="45" t="n">
        <x:v>3000</x:v>
      </x:c>
      <x:c r="I13" s="45" t="n">
        <x:v>6500</x:v>
      </x:c>
      <x:c r="J13" s="45" t="n">
        <x:v>12000</x:v>
      </x:c>
      <x:c r="K13" s="43" t="str">
        <x:v>MANAGEMENT_ASSUMPTION</x:v>
      </x:c>
      <x:c r="L13" s="43" t="str">
        <x:v>Operations</x:v>
      </x:c>
      <x:c r="M13" s="46" t="str">
        <x:v>Design-partner sites and protocols required</x:v>
      </x:c>
    </x:row>
    <x:row r="14" ht="34" customHeight="1">
      <x:c r="A14" s="42" t="str">
        <x:v>CHN-01</x:v>
      </x:c>
      <x:c r="B14" s="43" t="str">
        <x:v>China sourcing</x:v>
      </x:c>
      <x:c r="C14" s="43" t="str">
        <x:v>OPEX</x:v>
      </x:c>
      <x:c r="D14" s="43" t="str">
        <x:v>Supplier diligence, travel, samples and inspection</x:v>
      </x:c>
      <x:c r="E14" s="43" t="str">
        <x:v>one_time</x:v>
      </x:c>
      <x:c r="F14" s="44" t="n">
        <x:v>1</x:v>
      </x:c>
      <x:c r="G14" s="44" t="n">
        <x:v>1</x:v>
      </x:c>
      <x:c r="H14" s="45" t="n">
        <x:v>12000</x:v>
      </x:c>
      <x:c r="I14" s="45" t="n">
        <x:v>22000</x:v>
      </x:c>
      <x:c r="J14" s="45" t="n">
        <x:v>40000</x:v>
      </x:c>
      <x:c r="K14" s="43" t="str">
        <x:v>MANAGEMENT_ASSUMPTION</x:v>
      </x:c>
      <x:c r="L14" s="43" t="str">
        <x:v>Operations</x:v>
      </x:c>
      <x:c r="M14" s="46" t="str">
        <x:v>Trip scope and supplier shortlist required</x:v>
      </x:c>
    </x:row>
    <x:row r="15" ht="34" customHeight="1">
      <x:c r="A15" s="42" t="str">
        <x:v>IP-01</x:v>
      </x:c>
      <x:c r="B15" s="43" t="str">
        <x:v>IP / legal</x:v>
      </x:c>
      <x:c r="C15" s="43" t="str">
        <x:v>OPEX</x:v>
      </x:c>
      <x:c r="D15" s="43" t="str">
        <x:v>Corporate, IP assignments, FTO and contracting</x:v>
      </x:c>
      <x:c r="E15" s="43" t="str">
        <x:v>one_time</x:v>
      </x:c>
      <x:c r="F15" s="44" t="n">
        <x:v>0</x:v>
      </x:c>
      <x:c r="G15" s="44" t="n">
        <x:v>0</x:v>
      </x:c>
      <x:c r="H15" s="45" t="n">
        <x:v>10000</x:v>
      </x:c>
      <x:c r="I15" s="45" t="n">
        <x:v>20000</x:v>
      </x:c>
      <x:c r="J15" s="45" t="n">
        <x:v>40000</x:v>
      </x:c>
      <x:c r="K15" s="43" t="str">
        <x:v>MANAGEMENT_ASSUMPTION</x:v>
      </x:c>
      <x:c r="L15" s="43" t="str">
        <x:v>Legal</x:v>
      </x:c>
      <x:c r="M15" s="46" t="str">
        <x:v>Counsel quote and diligence scope required</x:v>
      </x:c>
    </x:row>
    <x:row r="16" ht="34" customHeight="1">
      <x:c r="A16" s="42" t="str">
        <x:v>REG-01</x:v>
      </x:c>
      <x:c r="B16" s="43" t="str">
        <x:v>Regulatory</x:v>
      </x:c>
      <x:c r="C16" s="43" t="str">
        <x:v>OPEX</x:v>
      </x:c>
      <x:c r="D16" s="43" t="str">
        <x:v>Drone, privacy, safety and field compliance work</x:v>
      </x:c>
      <x:c r="E16" s="43" t="str">
        <x:v>monthly</x:v>
      </x:c>
      <x:c r="F16" s="44" t="n">
        <x:v>4</x:v>
      </x:c>
      <x:c r="G16" s="44" t="n">
        <x:v>9</x:v>
      </x:c>
      <x:c r="H16" s="45" t="n">
        <x:v>1500</x:v>
      </x:c>
      <x:c r="I16" s="45" t="n">
        <x:v>3500</x:v>
      </x:c>
      <x:c r="J16" s="45" t="n">
        <x:v>7000</x:v>
      </x:c>
      <x:c r="K16" s="43" t="str">
        <x:v>MANAGEMENT_ASSUMPTION</x:v>
      </x:c>
      <x:c r="L16" s="43" t="str">
        <x:v>Legal / Flight</x:v>
      </x:c>
      <x:c r="M16" s="46" t="str">
        <x:v>Jurisdiction and operating concept required</x:v>
      </x:c>
    </x:row>
    <x:row r="17" ht="34" customHeight="1">
      <x:c r="A17" s="47" t="str">
        <x:v>MKT-01</x:v>
      </x:c>
      <x:c r="B17" s="48" t="str">
        <x:v>Investor &amp; commercial validation</x:v>
      </x:c>
      <x:c r="C17" s="48" t="str">
        <x:v>OPEX</x:v>
      </x:c>
      <x:c r="D17" s="48" t="str">
        <x:v>Customer discovery, materials and meeting costs</x:v>
      </x:c>
      <x:c r="E17" s="48" t="str">
        <x:v>monthly</x:v>
      </x:c>
      <x:c r="F17" s="49" t="n">
        <x:v>1</x:v>
      </x:c>
      <x:c r="G17" s="49" t="n">
        <x:v>12</x:v>
      </x:c>
      <x:c r="H17" s="50" t="n">
        <x:v>1500</x:v>
      </x:c>
      <x:c r="I17" s="50" t="n">
        <x:v>3000</x:v>
      </x:c>
      <x:c r="J17" s="50" t="n">
        <x:v>6000</x:v>
      </x:c>
      <x:c r="K17" s="48" t="str">
        <x:v>MANAGEMENT_ASSUMPTION</x:v>
      </x:c>
      <x:c r="L17" s="48" t="str">
        <x:v>CEO</x:v>
      </x:c>
      <x:c r="M17" s="51" t="str">
        <x:v>Approved go-to-market plan required</x:v>
      </x:c>
    </x:row>
    <x:row r="18">
      <x:c r="A18" s="52"/>
      <x:c r="B18" s="52"/>
      <x:c r="C18" s="52"/>
      <x:c r="D18" s="52"/>
      <x:c r="E18" s="52"/>
      <x:c r="F18" s="52"/>
      <x:c r="G18" s="52"/>
      <x:c r="H18" s="52"/>
      <x:c r="I18" s="52"/>
      <x:c r="J18" s="52"/>
      <x:c r="K18" s="52"/>
      <x:c r="L18" s="52"/>
      <x:c r="M18" s="52"/>
    </x:row>
    <x:row r="19">
      <x:c r="A19" s="52"/>
      <x:c r="B19" s="52"/>
      <x:c r="C19" s="52"/>
      <x:c r="D19" s="52"/>
      <x:c r="E19" s="52"/>
      <x:c r="F19" s="52"/>
      <x:c r="G19" s="52"/>
      <x:c r="H19" s="52"/>
      <x:c r="I19" s="52"/>
      <x:c r="J19" s="52"/>
      <x:c r="K19" s="52"/>
      <x:c r="L19" s="52"/>
      <x:c r="M19" s="52"/>
    </x:row>
    <x:row r="20">
      <x:c r="A20" s="55" t="str">
        <x:v>REVENUE ACTIVATION DRIVERS — CURRENTLY ZERO / TO VALIDATE</x:v>
      </x:c>
      <x:c r="B20" s="55" t="str">
        <x:v>REVENUE ACTIVATION DRIVERS — CURRENTLY ZERO / TO VALIDATE</x:v>
      </x:c>
      <x:c r="C20" s="55" t="str">
        <x:v>REVENUE ACTIVATION DRIVERS — CURRENTLY ZERO / TO VALIDATE</x:v>
      </x:c>
      <x:c r="D20" s="55" t="str">
        <x:v>REVENUE ACTIVATION DRIVERS — CURRENTLY ZERO / TO VALIDATE</x:v>
      </x:c>
      <x:c r="E20" s="55" t="str">
        <x:v>REVENUE ACTIVATION DRIVERS — CURRENTLY ZERO / TO VALIDATE</x:v>
      </x:c>
      <x:c r="F20" s="55" t="str">
        <x:v>REVENUE ACTIVATION DRIVERS — CURRENTLY ZERO / TO VALIDATE</x:v>
      </x:c>
      <x:c r="G20" s="55" t="str">
        <x:v>REVENUE ACTIVATION DRIVERS — CURRENTLY ZERO / TO VALIDATE</x:v>
      </x:c>
      <x:c r="H20" s="55" t="str">
        <x:v>REVENUE ACTIVATION DRIVERS — CURRENTLY ZERO / TO VALIDATE</x:v>
      </x:c>
      <x:c r="I20" s="55" t="str">
        <x:v>REVENUE ACTIVATION DRIVERS — CURRENTLY ZERO / TO VALIDATE</x:v>
      </x:c>
      <x:c r="J20" s="55" t="str">
        <x:v>REVENUE ACTIVATION DRIVERS — CURRENTLY ZERO / TO VALIDATE</x:v>
      </x:c>
      <x:c r="K20" s="55" t="str">
        <x:v>REVENUE ACTIVATION DRIVERS — CURRENTLY ZERO / TO VALIDATE</x:v>
      </x:c>
      <x:c r="L20" s="55" t="str">
        <x:v>REVENUE ACTIVATION DRIVERS — CURRENTLY ZERO / TO VALIDATE</x:v>
      </x:c>
      <x:c r="M20" s="55" t="str">
        <x:v>REVENUE ACTIVATION DRIVERS — CURRENTLY ZERO / TO VALIDATE</x:v>
      </x:c>
    </x:row>
    <x:row r="21">
      <x:c r="A21" s="13" t="str">
        <x:v>ID</x:v>
      </x:c>
      <x:c r="B21" s="13" t="str">
        <x:v>Driver</x:v>
      </x:c>
      <x:c r="C21" s="13" t="str">
        <x:v>Current value</x:v>
      </x:c>
      <x:c r="D21" s="13" t="str">
        <x:v>Unit</x:v>
      </x:c>
      <x:c r="E21" s="13" t="str">
        <x:v>Status</x:v>
      </x:c>
      <x:c r="F21" s="13" t="str">
        <x:v>Required evidence</x:v>
      </x:c>
    </x:row>
    <x:row r="22">
      <x:c r="A22" t="str">
        <x:v>REV-01</x:v>
      </x:c>
      <x:c r="B22" t="str">
        <x:v>Sentinel hardware units</x:v>
      </x:c>
      <x:c r="C22" s="19" t="n">
        <x:v>0</x:v>
      </x:c>
      <x:c r="D22" t="str">
        <x:v>units</x:v>
      </x:c>
      <x:c r="E22" t="str">
        <x:v>TO_VALIDATE</x:v>
      </x:c>
      <x:c r="F22" t="str">
        <x:v>No approved price, volume or delivery calendar</x:v>
      </x:c>
    </x:row>
    <x:row r="23">
      <x:c r="A23" t="str">
        <x:v>REV-02</x:v>
      </x:c>
      <x:c r="B23" t="str">
        <x:v>Rover hardware units</x:v>
      </x:c>
      <x:c r="C23" s="19" t="n">
        <x:v>0</x:v>
      </x:c>
      <x:c r="D23" t="str">
        <x:v>units</x:v>
      </x:c>
      <x:c r="E23" t="str">
        <x:v>TO_VALIDATE</x:v>
      </x:c>
      <x:c r="F23" t="str">
        <x:v>No approved price, volume or delivery calendar</x:v>
      </x:c>
    </x:row>
    <x:row r="24">
      <x:c r="A24" t="str">
        <x:v>REV-03</x:v>
      </x:c>
      <x:c r="B24" t="str">
        <x:v>Active SaaS accounts</x:v>
      </x:c>
      <x:c r="C24" s="19" t="n">
        <x:v>0</x:v>
      </x:c>
      <x:c r="D24" t="str">
        <x:v>accounts</x:v>
      </x:c>
      <x:c r="E24" t="str">
        <x:v>TO_VALIDATE</x:v>
      </x:c>
      <x:c r="F24" t="str">
        <x:v>No approved pricing, conversion or churn</x:v>
      </x:c>
    </x:row>
    <x:row r="25">
      <x:c r="A25" t="str">
        <x:v>REV-04</x:v>
      </x:c>
      <x:c r="B25" t="str">
        <x:v>Managed service contracts</x:v>
      </x:c>
      <x:c r="C25" s="19" t="n">
        <x:v>0</x:v>
      </x:c>
      <x:c r="D25" t="str">
        <x:v>contracts</x:v>
      </x:c>
      <x:c r="E25" t="str">
        <x:v>TO_VALIDATE</x:v>
      </x:c>
      <x:c r="F25" t="str">
        <x:v>No approved scope, pricing or delivery capacity</x:v>
      </x:c>
    </x:row>
    <x:row r="27">
      <x:c r="A27" s="8" t="str">
        <x:v>CONTINGENCY BY SCENARIO</x:v>
      </x:c>
      <x:c r="B27" s="8" t="str">
        <x:v>CONTINGENCY BY SCENARIO</x:v>
      </x:c>
      <x:c r="C27" s="8" t="str">
        <x:v>CONTINGENCY BY SCENARIO</x:v>
      </x:c>
      <x:c r="D27" s="8" t="str">
        <x:v>CONTINGENCY BY SCENARIO</x:v>
      </x:c>
      <x:c r="E27" s="8" t="str">
        <x:v>CONTINGENCY BY SCENARIO</x:v>
      </x:c>
      <x:c r="F27" s="8" t="str">
        <x:v>CONTINGENCY BY SCENARIO</x:v>
      </x:c>
      <x:c r="G27" s="8" t="str">
        <x:v>CONTINGENCY BY SCENARIO</x:v>
      </x:c>
      <x:c r="H27" s="8" t="str">
        <x:v>CONTINGENCY BY SCENARIO</x:v>
      </x:c>
      <x:c r="I27" s="8" t="str">
        <x:v>CONTINGENCY BY SCENARIO</x:v>
      </x:c>
      <x:c r="J27" s="8" t="str">
        <x:v>CONTINGENCY BY SCENARIO</x:v>
      </x:c>
      <x:c r="K27" s="8" t="str">
        <x:v>CONTINGENCY BY SCENARIO</x:v>
      </x:c>
      <x:c r="L27" s="8" t="str">
        <x:v>CONTINGENCY BY SCENARIO</x:v>
      </x:c>
      <x:c r="M27" s="8" t="str">
        <x:v>CONTINGENCY BY SCENARIO</x:v>
      </x:c>
    </x:row>
    <x:row r="28">
      <x:c r="A28" s="13" t="str">
        <x:v>Scenario</x:v>
      </x:c>
      <x:c r="B28" s="13" t="str">
        <x:v>Rate</x:v>
      </x:c>
      <x:c r="C28" s="13" t="str">
        <x:v>Classification</x:v>
      </x:c>
      <x:c r="D28" s="13" t="str">
        <x:v>Note</x:v>
      </x:c>
    </x:row>
    <x:row r="29">
      <x:c r="A29" t="str">
        <x:v>Lean</x:v>
      </x:c>
      <x:c r="B29" s="56" t="n">
        <x:v>0.05</x:v>
      </x:c>
      <x:c r="C29" t="str">
        <x:v>SCENARIO</x:v>
      </x:c>
      <x:c r="D29" t="str">
        <x:v>Configurable planning allowance</x:v>
      </x:c>
    </x:row>
    <x:row r="30">
      <x:c r="A30" t="str">
        <x:v>Base</x:v>
      </x:c>
      <x:c r="B30" s="56" t="n">
        <x:v>0.1</x:v>
      </x:c>
      <x:c r="C30" t="str">
        <x:v>SCENARIO</x:v>
      </x:c>
      <x:c r="D30" t="str">
        <x:v>Configurable planning allowance</x:v>
      </x:c>
    </x:row>
    <x:row r="31">
      <x:c r="A31" t="str">
        <x:v>Accelerated</x:v>
      </x:c>
      <x:c r="B31" s="56" t="n">
        <x:v>0.15</x:v>
      </x:c>
      <x:c r="C31" t="str">
        <x:v>SCENARIO</x:v>
      </x:c>
      <x:c r="D31" t="str">
        <x:v>Configurable planning allowance</x:v>
      </x:c>
    </x:row>
  </x:sheetData>
  <x:mergeCells>
    <x:mergeCell ref="A1:M2"/>
    <x:mergeCell ref="A20:M20"/>
    <x:mergeCell ref="A27:M2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6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1" ht="32" customHeight="1">
      <x:c r="A1" s="3" t="str">
        <x:v>Monthly Driver Model — M0 to M15</x:v>
      </x:c>
      <x:c r="B1" s="3" t="str">
        <x:v>Monthly Driver Model — M0 to M15</x:v>
      </x:c>
      <x:c r="C1" s="3" t="str">
        <x:v>Monthly Driver Model — M0 to M15</x:v>
      </x:c>
      <x:c r="D1" s="3" t="str">
        <x:v>Monthly Driver Model — M0 to M15</x:v>
      </x:c>
      <x:c r="E1" s="3" t="str">
        <x:v>Monthly Driver Model — M0 to M15</x:v>
      </x:c>
      <x:c r="F1" s="3" t="str">
        <x:v>Monthly Driver Model — M0 to M15</x:v>
      </x:c>
      <x:c r="G1" s="3" t="str">
        <x:v>Monthly Driver Model — M0 to M15</x:v>
      </x:c>
      <x:c r="H1" s="3" t="str">
        <x:v>Monthly Driver Model — M0 to M15</x:v>
      </x:c>
      <x:c r="I1" s="3" t="str">
        <x:v>Monthly Driver Model — M0 to M15</x:v>
      </x:c>
      <x:c r="J1" s="3" t="str">
        <x:v>Monthly Driver Model — M0 to M15</x:v>
      </x:c>
      <x:c r="K1" s="3" t="str">
        <x:v>Monthly Driver Model — M0 to M15</x:v>
      </x:c>
      <x:c r="L1" s="3" t="str">
        <x:v>Monthly Driver Model — M0 to M15</x:v>
      </x:c>
      <x:c r="M1" s="3" t="str">
        <x:v>Monthly Driver Model — M0 to M15</x:v>
      </x:c>
      <x:c r="N1" s="3" t="str">
        <x:v>Monthly Driver Model — M0 to M15</x:v>
      </x:c>
      <x:c r="O1" s="3" t="str">
        <x:v>Monthly Driver Model — M0 to M15</x:v>
      </x:c>
      <x:c r="P1" s="3" t="str">
        <x:v>Monthly Driver Model — M0 to M15</x:v>
      </x:c>
      <x:c r="Q1" s="3" t="str">
        <x:v>Monthly Driver Model — M0 to M15</x:v>
      </x:c>
      <x:c r="R1" s="3" t="str">
        <x:v>Monthly Driver Model — M0 to M15</x:v>
      </x:c>
    </x:row>
    <x:row r="2" ht="32" customHeight="1">
      <x:c r="A2" s="3" t="str">
        <x:v>Monthly Driver Model — M0 to M15</x:v>
      </x:c>
      <x:c r="B2" s="3" t="str">
        <x:v>Monthly Driver Model — M0 to M15</x:v>
      </x:c>
      <x:c r="C2" s="3" t="str">
        <x:v>Monthly Driver Model — M0 to M15</x:v>
      </x:c>
      <x:c r="D2" s="3" t="str">
        <x:v>Monthly Driver Model — M0 to M15</x:v>
      </x:c>
      <x:c r="E2" s="3" t="str">
        <x:v>Monthly Driver Model — M0 to M15</x:v>
      </x:c>
      <x:c r="F2" s="3" t="str">
        <x:v>Monthly Driver Model — M0 to M15</x:v>
      </x:c>
      <x:c r="G2" s="3" t="str">
        <x:v>Monthly Driver Model — M0 to M15</x:v>
      </x:c>
      <x:c r="H2" s="3" t="str">
        <x:v>Monthly Driver Model — M0 to M15</x:v>
      </x:c>
      <x:c r="I2" s="3" t="str">
        <x:v>Monthly Driver Model — M0 to M15</x:v>
      </x:c>
      <x:c r="J2" s="3" t="str">
        <x:v>Monthly Driver Model — M0 to M15</x:v>
      </x:c>
      <x:c r="K2" s="3" t="str">
        <x:v>Monthly Driver Model — M0 to M15</x:v>
      </x:c>
      <x:c r="L2" s="3" t="str">
        <x:v>Monthly Driver Model — M0 to M15</x:v>
      </x:c>
      <x:c r="M2" s="3" t="str">
        <x:v>Monthly Driver Model — M0 to M15</x:v>
      </x:c>
      <x:c r="N2" s="3" t="str">
        <x:v>Monthly Driver Model — M0 to M15</x:v>
      </x:c>
      <x:c r="O2" s="3" t="str">
        <x:v>Monthly Driver Model — M0 to M15</x:v>
      </x:c>
      <x:c r="P2" s="3" t="str">
        <x:v>Monthly Driver Model — M0 to M15</x:v>
      </x:c>
      <x:c r="Q2" s="3" t="str">
        <x:v>Monthly Driver Model — M0 to M15</x:v>
      </x:c>
      <x:c r="R2" s="3" t="str">
        <x:v>Monthly Driver Model — M0 to M15</x:v>
      </x:c>
    </x:row>
    <x:row r="3">
      <x:c r="A3" s="57" t="str">
        <x:v>Month index</x:v>
      </x:c>
      <x:c r="B3" s="57" t="str"/>
      <x:c r="C3" s="57" t="n">
        <x:v>0</x:v>
      </x:c>
      <x:c r="D3" s="57" t="n">
        <x:v>1</x:v>
      </x:c>
      <x:c r="E3" s="57" t="n">
        <x:v>2</x:v>
      </x:c>
      <x:c r="F3" s="57" t="n">
        <x:v>3</x:v>
      </x:c>
      <x:c r="G3" s="57" t="n">
        <x:v>4</x:v>
      </x:c>
      <x:c r="H3" s="57" t="n">
        <x:v>5</x:v>
      </x:c>
      <x:c r="I3" s="57" t="n">
        <x:v>6</x:v>
      </x:c>
      <x:c r="J3" s="57" t="n">
        <x:v>7</x:v>
      </x:c>
      <x:c r="K3" s="57" t="n">
        <x:v>8</x:v>
      </x:c>
      <x:c r="L3" s="57" t="n">
        <x:v>9</x:v>
      </x:c>
      <x:c r="M3" s="57" t="n">
        <x:v>10</x:v>
      </x:c>
      <x:c r="N3" s="57" t="n">
        <x:v>11</x:v>
      </x:c>
      <x:c r="O3" s="57" t="n">
        <x:v>12</x:v>
      </x:c>
      <x:c r="P3" s="57" t="n">
        <x:v>13</x:v>
      </x:c>
      <x:c r="Q3" s="57" t="n">
        <x:v>14</x:v>
      </x:c>
      <x:c r="R3" s="57" t="n">
        <x:v>15</x:v>
      </x:c>
    </x:row>
    <x:row r="4">
      <x:c r="A4" s="13" t="str">
        <x:v>Scenario</x:v>
      </x:c>
      <x:c r="B4" s="13" t="str">
        <x:v>Metric</x:v>
      </x:c>
      <x:c r="C4" s="13" t="str">
        <x:v>M0</x:v>
      </x:c>
      <x:c r="D4" s="13" t="str">
        <x:v>M1</x:v>
      </x:c>
      <x:c r="E4" s="13" t="str">
        <x:v>M2</x:v>
      </x:c>
      <x:c r="F4" s="13" t="str">
        <x:v>M3</x:v>
      </x:c>
      <x:c r="G4" s="13" t="str">
        <x:v>M4</x:v>
      </x:c>
      <x:c r="H4" s="13" t="str">
        <x:v>M5</x:v>
      </x:c>
      <x:c r="I4" s="13" t="str">
        <x:v>M6</x:v>
      </x:c>
      <x:c r="J4" s="13" t="str">
        <x:v>M7</x:v>
      </x:c>
      <x:c r="K4" s="13" t="str">
        <x:v>M8</x:v>
      </x:c>
      <x:c r="L4" s="13" t="str">
        <x:v>M9</x:v>
      </x:c>
      <x:c r="M4" s="13" t="str">
        <x:v>M10</x:v>
      </x:c>
      <x:c r="N4" s="13" t="str">
        <x:v>M11</x:v>
      </x:c>
      <x:c r="O4" s="13" t="str">
        <x:v>M12</x:v>
      </x:c>
      <x:c r="P4" s="13" t="str">
        <x:v>M13</x:v>
      </x:c>
      <x:c r="Q4" s="13" t="str">
        <x:v>M14</x:v>
      </x:c>
      <x:c r="R4" s="13" t="str">
        <x:v>M15</x:v>
      </x:c>
    </x:row>
    <x:row r="5">
      <x:c r="A5" s="8" t="str">
        <x:v>LEAN SCENARIO</x:v>
      </x:c>
      <x:c r="B5" s="8" t="str">
        <x:v>LEAN SCENARIO</x:v>
      </x:c>
      <x:c r="C5" s="8" t="str">
        <x:v>LEAN SCENARIO</x:v>
      </x:c>
      <x:c r="D5" s="8" t="str">
        <x:v>LEAN SCENARIO</x:v>
      </x:c>
      <x:c r="E5" s="8" t="str">
        <x:v>LEAN SCENARIO</x:v>
      </x:c>
      <x:c r="F5" s="8" t="str">
        <x:v>LEAN SCENARIO</x:v>
      </x:c>
      <x:c r="G5" s="8" t="str">
        <x:v>LEAN SCENARIO</x:v>
      </x:c>
      <x:c r="H5" s="8" t="str">
        <x:v>LEAN SCENARIO</x:v>
      </x:c>
      <x:c r="I5" s="8" t="str">
        <x:v>LEAN SCENARIO</x:v>
      </x:c>
      <x:c r="J5" s="8" t="str">
        <x:v>LEAN SCENARIO</x:v>
      </x:c>
      <x:c r="K5" s="8" t="str">
        <x:v>LEAN SCENARIO</x:v>
      </x:c>
      <x:c r="L5" s="8" t="str">
        <x:v>LEAN SCENARIO</x:v>
      </x:c>
      <x:c r="M5" s="8" t="str">
        <x:v>LEAN SCENARIO</x:v>
      </x:c>
      <x:c r="N5" s="8" t="str">
        <x:v>LEAN SCENARIO</x:v>
      </x:c>
      <x:c r="O5" s="8" t="str">
        <x:v>LEAN SCENARIO</x:v>
      </x:c>
      <x:c r="P5" s="8" t="str">
        <x:v>LEAN SCENARIO</x:v>
      </x:c>
      <x:c r="Q5" s="8" t="str">
        <x:v>LEAN SCENARIO</x:v>
      </x:c>
      <x:c r="R5" s="8" t="str">
        <x:v>LEAN SCENARIO</x:v>
      </x:c>
    </x:row>
    <x:row r="6">
      <x:c r="A6" t="str">
        <x:v>Lean</x:v>
      </x:c>
      <x:c r="B6" t="str">
        <x:v>OPEX</x:v>
      </x:c>
      <x:c r="C6" s="14" t="n">
        <x:f>SUMPRODUCT(('Assumptions'!$C$5:$C$17="OPEX")*('Assumptions'!$F$5:$F$17&lt;=C$3)*('Assumptions'!$G$5:$G$17&gt;=C$3)*(('Assumptions'!$E$5:$E$17="monthly")+(('Assumptions'!$E$5:$E$17="one_time")*('Assumptions'!$F$5:$F$17=C$3)))*'Assumptions'!$H$5:$H$17)</x:f>
        <x:v>10000</x:v>
      </x:c>
      <x:c r="D6" s="14" t="n">
        <x:f>SUMPRODUCT(('Assumptions'!$C$5:$C$17="OPEX")*('Assumptions'!$F$5:$F$17&lt;=D$3)*('Assumptions'!$G$5:$G$17&gt;=D$3)*(('Assumptions'!$E$5:$E$17="monthly")+(('Assumptions'!$E$5:$E$17="one_time")*('Assumptions'!$F$5:$F$17=D$3)))*'Assumptions'!$H$5:$H$17)</x:f>
        <x:v>33300</x:v>
      </x:c>
      <x:c r="E6" s="14" t="n">
        <x:f>SUMPRODUCT(('Assumptions'!$C$5:$C$17="OPEX")*('Assumptions'!$F$5:$F$17&lt;=E$3)*('Assumptions'!$G$5:$G$17&gt;=E$3)*(('Assumptions'!$E$5:$E$17="monthly")+(('Assumptions'!$E$5:$E$17="one_time")*('Assumptions'!$F$5:$F$17=E$3)))*'Assumptions'!$H$5:$H$17)</x:f>
        <x:v>22800</x:v>
      </x:c>
      <x:c r="F6" s="14" t="n">
        <x:f>SUMPRODUCT(('Assumptions'!$C$5:$C$17="OPEX")*('Assumptions'!$F$5:$F$17&lt;=F$3)*('Assumptions'!$G$5:$G$17&gt;=F$3)*(('Assumptions'!$E$5:$E$17="monthly")+(('Assumptions'!$E$5:$E$17="one_time")*('Assumptions'!$F$5:$F$17=F$3)))*'Assumptions'!$H$5:$H$17)</x:f>
        <x:v>22800</x:v>
      </x:c>
      <x:c r="G6" s="14" t="n">
        <x:f>SUMPRODUCT(('Assumptions'!$C$5:$C$17="OPEX")*('Assumptions'!$F$5:$F$17&lt;=G$3)*('Assumptions'!$G$5:$G$17&gt;=G$3)*(('Assumptions'!$E$5:$E$17="monthly")+(('Assumptions'!$E$5:$E$17="one_time")*('Assumptions'!$F$5:$F$17=G$3)))*'Assumptions'!$H$5:$H$17)</x:f>
        <x:v>24300</x:v>
      </x:c>
      <x:c r="H6" s="14" t="n">
        <x:f>SUMPRODUCT(('Assumptions'!$C$5:$C$17="OPEX")*('Assumptions'!$F$5:$F$17&lt;=H$3)*('Assumptions'!$G$5:$G$17&gt;=H$3)*(('Assumptions'!$E$5:$E$17="monthly")+(('Assumptions'!$E$5:$E$17="one_time")*('Assumptions'!$F$5:$F$17=H$3)))*'Assumptions'!$H$5:$H$17)</x:f>
        <x:v>27300</x:v>
      </x:c>
      <x:c r="I6" s="14" t="n">
        <x:f>SUMPRODUCT(('Assumptions'!$C$5:$C$17="OPEX")*('Assumptions'!$F$5:$F$17&lt;=I$3)*('Assumptions'!$G$5:$G$17&gt;=I$3)*(('Assumptions'!$E$5:$E$17="monthly")+(('Assumptions'!$E$5:$E$17="one_time")*('Assumptions'!$F$5:$F$17=I$3)))*'Assumptions'!$H$5:$H$17)</x:f>
        <x:v>27300</x:v>
      </x:c>
      <x:c r="J6" s="14" t="n">
        <x:f>SUMPRODUCT(('Assumptions'!$C$5:$C$17="OPEX")*('Assumptions'!$F$5:$F$17&lt;=J$3)*('Assumptions'!$G$5:$G$17&gt;=J$3)*(('Assumptions'!$E$5:$E$17="monthly")+(('Assumptions'!$E$5:$E$17="one_time")*('Assumptions'!$F$5:$F$17=J$3)))*'Assumptions'!$H$5:$H$17)</x:f>
        <x:v>27300</x:v>
      </x:c>
      <x:c r="K6" s="14" t="n">
        <x:f>SUMPRODUCT(('Assumptions'!$C$5:$C$17="OPEX")*('Assumptions'!$F$5:$F$17&lt;=K$3)*('Assumptions'!$G$5:$G$17&gt;=K$3)*(('Assumptions'!$E$5:$E$17="monthly")+(('Assumptions'!$E$5:$E$17="one_time")*('Assumptions'!$F$5:$F$17=K$3)))*'Assumptions'!$H$5:$H$17)</x:f>
        <x:v>27300</x:v>
      </x:c>
      <x:c r="L6" s="14" t="n">
        <x:f>SUMPRODUCT(('Assumptions'!$C$5:$C$17="OPEX")*('Assumptions'!$F$5:$F$17&lt;=L$3)*('Assumptions'!$G$5:$G$17&gt;=L$3)*(('Assumptions'!$E$5:$E$17="monthly")+(('Assumptions'!$E$5:$E$17="one_time")*('Assumptions'!$F$5:$F$17=L$3)))*'Assumptions'!$H$5:$H$17)</x:f>
        <x:v>27300</x:v>
      </x:c>
      <x:c r="M6" s="14" t="n">
        <x:f>SUMPRODUCT(('Assumptions'!$C$5:$C$17="OPEX")*('Assumptions'!$F$5:$F$17&lt;=M$3)*('Assumptions'!$G$5:$G$17&gt;=M$3)*(('Assumptions'!$E$5:$E$17="monthly")+(('Assumptions'!$E$5:$E$17="one_time")*('Assumptions'!$F$5:$F$17=M$3)))*'Assumptions'!$H$5:$H$17)</x:f>
        <x:v>25800</x:v>
      </x:c>
      <x:c r="N6" s="14" t="n">
        <x:f>SUMPRODUCT(('Assumptions'!$C$5:$C$17="OPEX")*('Assumptions'!$F$5:$F$17&lt;=N$3)*('Assumptions'!$G$5:$G$17&gt;=N$3)*(('Assumptions'!$E$5:$E$17="monthly")+(('Assumptions'!$E$5:$E$17="one_time")*('Assumptions'!$F$5:$F$17=N$3)))*'Assumptions'!$H$5:$H$17)</x:f>
        <x:v>25800</x:v>
      </x:c>
      <x:c r="O6" s="14" t="n">
        <x:f>SUMPRODUCT(('Assumptions'!$C$5:$C$17="OPEX")*('Assumptions'!$F$5:$F$17&lt;=O$3)*('Assumptions'!$G$5:$G$17&gt;=O$3)*(('Assumptions'!$E$5:$E$17="monthly")+(('Assumptions'!$E$5:$E$17="one_time")*('Assumptions'!$F$5:$F$17=O$3)))*'Assumptions'!$H$5:$H$17)</x:f>
        <x:v>25800</x:v>
      </x:c>
      <x:c r="P6" s="14" t="n">
        <x:f>SUMPRODUCT(('Assumptions'!$C$5:$C$17="OPEX")*('Assumptions'!$F$5:$F$17&lt;=P$3)*('Assumptions'!$G$5:$G$17&gt;=P$3)*(('Assumptions'!$E$5:$E$17="monthly")+(('Assumptions'!$E$5:$E$17="one_time")*('Assumptions'!$F$5:$F$17=P$3)))*'Assumptions'!$H$5:$H$17)</x:f>
        <x:v>21300</x:v>
      </x:c>
      <x:c r="Q6" s="14" t="n">
        <x:f>SUMPRODUCT(('Assumptions'!$C$5:$C$17="OPEX")*('Assumptions'!$F$5:$F$17&lt;=Q$3)*('Assumptions'!$G$5:$G$17&gt;=Q$3)*(('Assumptions'!$E$5:$E$17="monthly")+(('Assumptions'!$E$5:$E$17="one_time")*('Assumptions'!$F$5:$F$17=Q$3)))*'Assumptions'!$H$5:$H$17)</x:f>
        <x:v>21300</x:v>
      </x:c>
      <x:c r="R6" s="14" t="n">
        <x:f>SUMPRODUCT(('Assumptions'!$C$5:$C$17="OPEX")*('Assumptions'!$F$5:$F$17&lt;=R$3)*('Assumptions'!$G$5:$G$17&gt;=R$3)*(('Assumptions'!$E$5:$E$17="monthly")+(('Assumptions'!$E$5:$E$17="one_time")*('Assumptions'!$F$5:$F$17=R$3)))*'Assumptions'!$H$5:$H$17)</x:f>
        <x:v>21300</x:v>
      </x:c>
    </x:row>
    <x:row r="7">
      <x:c r="A7" t="str">
        <x:v>Lean</x:v>
      </x:c>
      <x:c r="B7" t="str">
        <x:v>CAPEX</x:v>
      </x:c>
      <x:c r="C7" s="14" t="n">
        <x:f>SUMPRODUCT(('Assumptions'!$C$5:$C$17="CAPEX")*('Assumptions'!$F$5:$F$17&lt;=C$3)*('Assumptions'!$G$5:$G$17&gt;=C$3)*(('Assumptions'!$E$5:$E$17="monthly")+(('Assumptions'!$E$5:$E$17="one_time")*('Assumptions'!$F$5:$F$17=C$3)))*'Assumptions'!$H$5:$H$17)</x:f>
        <x:v>0</x:v>
      </x:c>
      <x:c r="D7" s="14" t="n">
        <x:f>SUMPRODUCT(('Assumptions'!$C$5:$C$17="CAPEX")*('Assumptions'!$F$5:$F$17&lt;=D$3)*('Assumptions'!$G$5:$G$17&gt;=D$3)*(('Assumptions'!$E$5:$E$17="monthly")+(('Assumptions'!$E$5:$E$17="one_time")*('Assumptions'!$F$5:$F$17=D$3)))*'Assumptions'!$H$5:$H$17)</x:f>
        <x:v>18000</x:v>
      </x:c>
      <x:c r="E7" s="14" t="n">
        <x:f>SUMPRODUCT(('Assumptions'!$C$5:$C$17="CAPEX")*('Assumptions'!$F$5:$F$17&lt;=E$3)*('Assumptions'!$G$5:$G$17&gt;=E$3)*(('Assumptions'!$E$5:$E$17="monthly")+(('Assumptions'!$E$5:$E$17="one_time")*('Assumptions'!$F$5:$F$17=E$3)))*'Assumptions'!$H$5:$H$17)</x:f>
        <x:v>20412</x:v>
      </x:c>
      <x:c r="F7" s="14" t="n">
        <x:f>SUMPRODUCT(('Assumptions'!$C$5:$C$17="CAPEX")*('Assumptions'!$F$5:$F$17&lt;=F$3)*('Assumptions'!$G$5:$G$17&gt;=F$3)*(('Assumptions'!$E$5:$E$17="monthly")+(('Assumptions'!$E$5:$E$17="one_time")*('Assumptions'!$F$5:$F$17=F$3)))*'Assumptions'!$H$5:$H$17)</x:f>
        <x:v>12500</x:v>
      </x:c>
      <x:c r="G7" s="14" t="n">
        <x:f>SUMPRODUCT(('Assumptions'!$C$5:$C$17="CAPEX")*('Assumptions'!$F$5:$F$17&lt;=G$3)*('Assumptions'!$G$5:$G$17&gt;=G$3)*(('Assumptions'!$E$5:$E$17="monthly")+(('Assumptions'!$E$5:$E$17="one_time")*('Assumptions'!$F$5:$F$17=G$3)))*'Assumptions'!$H$5:$H$17)</x:f>
        <x:v>0</x:v>
      </x:c>
      <x:c r="H7" s="14" t="n">
        <x:f>SUMPRODUCT(('Assumptions'!$C$5:$C$17="CAPEX")*('Assumptions'!$F$5:$F$17&lt;=H$3)*('Assumptions'!$G$5:$G$17&gt;=H$3)*(('Assumptions'!$E$5:$E$17="monthly")+(('Assumptions'!$E$5:$E$17="one_time")*('Assumptions'!$F$5:$F$17=H$3)))*'Assumptions'!$H$5:$H$17)</x:f>
        <x:v>0</x:v>
      </x:c>
      <x:c r="I7" s="14" t="n">
        <x:f>SUMPRODUCT(('Assumptions'!$C$5:$C$17="CAPEX")*('Assumptions'!$F$5:$F$17&lt;=I$3)*('Assumptions'!$G$5:$G$17&gt;=I$3)*(('Assumptions'!$E$5:$E$17="monthly")+(('Assumptions'!$E$5:$E$17="one_time")*('Assumptions'!$F$5:$F$17=I$3)))*'Assumptions'!$H$5:$H$17)</x:f>
        <x:v>0</x:v>
      </x:c>
      <x:c r="J7" s="14" t="n">
        <x:f>SUMPRODUCT(('Assumptions'!$C$5:$C$17="CAPEX")*('Assumptions'!$F$5:$F$17&lt;=J$3)*('Assumptions'!$G$5:$G$17&gt;=J$3)*(('Assumptions'!$E$5:$E$17="monthly")+(('Assumptions'!$E$5:$E$17="one_time")*('Assumptions'!$F$5:$F$17=J$3)))*'Assumptions'!$H$5:$H$17)</x:f>
        <x:v>0</x:v>
      </x:c>
      <x:c r="K7" s="14" t="n">
        <x:f>SUMPRODUCT(('Assumptions'!$C$5:$C$17="CAPEX")*('Assumptions'!$F$5:$F$17&lt;=K$3)*('Assumptions'!$G$5:$G$17&gt;=K$3)*(('Assumptions'!$E$5:$E$17="monthly")+(('Assumptions'!$E$5:$E$17="one_time")*('Assumptions'!$F$5:$F$17=K$3)))*'Assumptions'!$H$5:$H$17)</x:f>
        <x:v>0</x:v>
      </x:c>
      <x:c r="L7" s="14" t="n">
        <x:f>SUMPRODUCT(('Assumptions'!$C$5:$C$17="CAPEX")*('Assumptions'!$F$5:$F$17&lt;=L$3)*('Assumptions'!$G$5:$G$17&gt;=L$3)*(('Assumptions'!$E$5:$E$17="monthly")+(('Assumptions'!$E$5:$E$17="one_time")*('Assumptions'!$F$5:$F$17=L$3)))*'Assumptions'!$H$5:$H$17)</x:f>
        <x:v>0</x:v>
      </x:c>
      <x:c r="M7" s="14" t="n">
        <x:f>SUMPRODUCT(('Assumptions'!$C$5:$C$17="CAPEX")*('Assumptions'!$F$5:$F$17&lt;=M$3)*('Assumptions'!$G$5:$G$17&gt;=M$3)*(('Assumptions'!$E$5:$E$17="monthly")+(('Assumptions'!$E$5:$E$17="one_time")*('Assumptions'!$F$5:$F$17=M$3)))*'Assumptions'!$H$5:$H$17)</x:f>
        <x:v>0</x:v>
      </x:c>
      <x:c r="N7" s="14" t="n">
        <x:f>SUMPRODUCT(('Assumptions'!$C$5:$C$17="CAPEX")*('Assumptions'!$F$5:$F$17&lt;=N$3)*('Assumptions'!$G$5:$G$17&gt;=N$3)*(('Assumptions'!$E$5:$E$17="monthly")+(('Assumptions'!$E$5:$E$17="one_time")*('Assumptions'!$F$5:$F$17=N$3)))*'Assumptions'!$H$5:$H$17)</x:f>
        <x:v>0</x:v>
      </x:c>
      <x:c r="O7" s="14" t="n">
        <x:f>SUMPRODUCT(('Assumptions'!$C$5:$C$17="CAPEX")*('Assumptions'!$F$5:$F$17&lt;=O$3)*('Assumptions'!$G$5:$G$17&gt;=O$3)*(('Assumptions'!$E$5:$E$17="monthly")+(('Assumptions'!$E$5:$E$17="one_time")*('Assumptions'!$F$5:$F$17=O$3)))*'Assumptions'!$H$5:$H$17)</x:f>
        <x:v>0</x:v>
      </x:c>
      <x:c r="P7" s="14" t="n">
        <x:f>SUMPRODUCT(('Assumptions'!$C$5:$C$17="CAPEX")*('Assumptions'!$F$5:$F$17&lt;=P$3)*('Assumptions'!$G$5:$G$17&gt;=P$3)*(('Assumptions'!$E$5:$E$17="monthly")+(('Assumptions'!$E$5:$E$17="one_time")*('Assumptions'!$F$5:$F$17=P$3)))*'Assumptions'!$H$5:$H$17)</x:f>
        <x:v>0</x:v>
      </x:c>
      <x:c r="Q7" s="14" t="n">
        <x:f>SUMPRODUCT(('Assumptions'!$C$5:$C$17="CAPEX")*('Assumptions'!$F$5:$F$17&lt;=Q$3)*('Assumptions'!$G$5:$G$17&gt;=Q$3)*(('Assumptions'!$E$5:$E$17="monthly")+(('Assumptions'!$E$5:$E$17="one_time")*('Assumptions'!$F$5:$F$17=Q$3)))*'Assumptions'!$H$5:$H$17)</x:f>
        <x:v>0</x:v>
      </x:c>
      <x:c r="R7" s="14" t="n">
        <x:f>SUMPRODUCT(('Assumptions'!$C$5:$C$17="CAPEX")*('Assumptions'!$F$5:$F$17&lt;=R$3)*('Assumptions'!$G$5:$G$17&gt;=R$3)*(('Assumptions'!$E$5:$E$17="monthly")+(('Assumptions'!$E$5:$E$17="one_time")*('Assumptions'!$F$5:$F$17=R$3)))*'Assumptions'!$H$5:$H$17)</x:f>
        <x:v>0</x:v>
      </x:c>
    </x:row>
    <x:row r="8">
      <x:c r="A8" t="str">
        <x:v>Lean</x:v>
      </x:c>
      <x:c r="B8" s="60" t="str">
        <x:v>Total cash out</x:v>
      </x:c>
      <x:c r="C8" s="61" t="n">
        <x:f>C6+C7</x:f>
        <x:v>10000</x:v>
      </x:c>
      <x:c r="D8" s="61" t="n">
        <x:f>D6+D7</x:f>
        <x:v>51300</x:v>
      </x:c>
      <x:c r="E8" s="61" t="n">
        <x:f>E6+E7</x:f>
        <x:v>43212</x:v>
      </x:c>
      <x:c r="F8" s="61" t="n">
        <x:f>F6+F7</x:f>
        <x:v>35300</x:v>
      </x:c>
      <x:c r="G8" s="61" t="n">
        <x:f>G6+G7</x:f>
        <x:v>24300</x:v>
      </x:c>
      <x:c r="H8" s="61" t="n">
        <x:f>H6+H7</x:f>
        <x:v>27300</x:v>
      </x:c>
      <x:c r="I8" s="61" t="n">
        <x:f>I6+I7</x:f>
        <x:v>27300</x:v>
      </x:c>
      <x:c r="J8" s="61" t="n">
        <x:f>J6+J7</x:f>
        <x:v>27300</x:v>
      </x:c>
      <x:c r="K8" s="61" t="n">
        <x:f>K6+K7</x:f>
        <x:v>27300</x:v>
      </x:c>
      <x:c r="L8" s="61" t="n">
        <x:f>L6+L7</x:f>
        <x:v>27300</x:v>
      </x:c>
      <x:c r="M8" s="61" t="n">
        <x:f>M6+M7</x:f>
        <x:v>25800</x:v>
      </x:c>
      <x:c r="N8" s="61" t="n">
        <x:f>N6+N7</x:f>
        <x:v>25800</x:v>
      </x:c>
      <x:c r="O8" s="61" t="n">
        <x:f>O6+O7</x:f>
        <x:v>25800</x:v>
      </x:c>
      <x:c r="P8" s="61" t="n">
        <x:f>P6+P7</x:f>
        <x:v>21300</x:v>
      </x:c>
      <x:c r="Q8" s="61" t="n">
        <x:f>Q6+Q7</x:f>
        <x:v>21300</x:v>
      </x:c>
      <x:c r="R8" s="61" t="n">
        <x:f>R6+R7</x:f>
        <x:v>21300</x:v>
      </x:c>
    </x:row>
    <x:row r="9">
      <x:c r="A9" t="str">
        <x:v>Lean</x:v>
      </x:c>
      <x:c r="B9" t="str">
        <x:v>Revenue</x:v>
      </x:c>
      <x:c r="C9" s="14" t="n">
        <x:f>0</x:f>
        <x:v>0</x:v>
      </x:c>
      <x:c r="D9" s="14" t="n">
        <x:f>0</x:f>
        <x:v>0</x:v>
      </x:c>
      <x:c r="E9" s="14" t="n">
        <x:f>0</x:f>
        <x:v>0</x:v>
      </x:c>
      <x:c r="F9" s="14" t="n">
        <x:f>0</x:f>
        <x:v>0</x:v>
      </x:c>
      <x:c r="G9" s="14" t="n">
        <x:f>0</x:f>
        <x:v>0</x:v>
      </x:c>
      <x:c r="H9" s="14" t="n">
        <x:f>0</x:f>
        <x:v>0</x:v>
      </x:c>
      <x:c r="I9" s="14" t="n">
        <x:f>0</x:f>
        <x:v>0</x:v>
      </x:c>
      <x:c r="J9" s="14" t="n">
        <x:f>0</x:f>
        <x:v>0</x:v>
      </x:c>
      <x:c r="K9" s="14" t="n">
        <x:f>0</x:f>
        <x:v>0</x:v>
      </x:c>
      <x:c r="L9" s="14" t="n">
        <x:f>0</x:f>
        <x:v>0</x:v>
      </x:c>
      <x:c r="M9" s="14" t="n">
        <x:f>0</x:f>
        <x:v>0</x:v>
      </x:c>
      <x:c r="N9" s="14" t="n">
        <x:f>0</x:f>
        <x:v>0</x:v>
      </x:c>
      <x:c r="O9" s="14" t="n">
        <x:f>0</x:f>
        <x:v>0</x:v>
      </x:c>
      <x:c r="P9" s="14" t="n">
        <x:f>0</x:f>
        <x:v>0</x:v>
      </x:c>
      <x:c r="Q9" s="14" t="n">
        <x:f>0</x:f>
        <x:v>0</x:v>
      </x:c>
      <x:c r="R9" s="14" t="n">
        <x:f>0</x:f>
        <x:v>0</x:v>
      </x:c>
    </x:row>
    <x:row r="10">
      <x:c r="A10" t="str">
        <x:v>Lean</x:v>
      </x:c>
      <x:c r="B10" t="str">
        <x:v>EBITDA / cash proxy</x:v>
      </x:c>
      <x:c r="C10" s="14" t="n">
        <x:f>C9-C6</x:f>
        <x:v>-10000</x:v>
      </x:c>
      <x:c r="D10" s="14" t="n">
        <x:f>D9-D6</x:f>
        <x:v>-33300</x:v>
      </x:c>
      <x:c r="E10" s="14" t="n">
        <x:f>E9-E6</x:f>
        <x:v>-22800</x:v>
      </x:c>
      <x:c r="F10" s="14" t="n">
        <x:f>F9-F6</x:f>
        <x:v>-22800</x:v>
      </x:c>
      <x:c r="G10" s="14" t="n">
        <x:f>G9-G6</x:f>
        <x:v>-24300</x:v>
      </x:c>
      <x:c r="H10" s="14" t="n">
        <x:f>H9-H6</x:f>
        <x:v>-27300</x:v>
      </x:c>
      <x:c r="I10" s="14" t="n">
        <x:f>I9-I6</x:f>
        <x:v>-27300</x:v>
      </x:c>
      <x:c r="J10" s="14" t="n">
        <x:f>J9-J6</x:f>
        <x:v>-27300</x:v>
      </x:c>
      <x:c r="K10" s="14" t="n">
        <x:f>K9-K6</x:f>
        <x:v>-27300</x:v>
      </x:c>
      <x:c r="L10" s="14" t="n">
        <x:f>L9-L6</x:f>
        <x:v>-27300</x:v>
      </x:c>
      <x:c r="M10" s="14" t="n">
        <x:f>M9-M6</x:f>
        <x:v>-25800</x:v>
      </x:c>
      <x:c r="N10" s="14" t="n">
        <x:f>N9-N6</x:f>
        <x:v>-25800</x:v>
      </x:c>
      <x:c r="O10" s="14" t="n">
        <x:f>O9-O6</x:f>
        <x:v>-25800</x:v>
      </x:c>
      <x:c r="P10" s="14" t="n">
        <x:f>P9-P6</x:f>
        <x:v>-21300</x:v>
      </x:c>
      <x:c r="Q10" s="14" t="n">
        <x:f>Q9-Q6</x:f>
        <x:v>-21300</x:v>
      </x:c>
      <x:c r="R10" s="14" t="n">
        <x:f>R9-R6</x:f>
        <x:v>-21300</x:v>
      </x:c>
    </x:row>
    <x:row r="11">
      <x:c r="A11" t="str">
        <x:v>Lean</x:v>
      </x:c>
      <x:c r="B11" s="63" t="str">
        <x:v>Cumulative cash need</x:v>
      </x:c>
      <x:c r="C11" s="64" t="n">
        <x:f>C8</x:f>
        <x:v>10000</x:v>
      </x:c>
      <x:c r="D11" s="64" t="n">
        <x:f>C11+D8</x:f>
        <x:v>61300</x:v>
      </x:c>
      <x:c r="E11" s="64" t="n">
        <x:f>D11+E8</x:f>
        <x:v>104512</x:v>
      </x:c>
      <x:c r="F11" s="64" t="n">
        <x:f>E11+F8</x:f>
        <x:v>139812</x:v>
      </x:c>
      <x:c r="G11" s="64" t="n">
        <x:f>F11+G8</x:f>
        <x:v>164112</x:v>
      </x:c>
      <x:c r="H11" s="64" t="n">
        <x:f>G11+H8</x:f>
        <x:v>191412</x:v>
      </x:c>
      <x:c r="I11" s="64" t="n">
        <x:f>H11+I8</x:f>
        <x:v>218712</x:v>
      </x:c>
      <x:c r="J11" s="64" t="n">
        <x:f>I11+J8</x:f>
        <x:v>246012</x:v>
      </x:c>
      <x:c r="K11" s="64" t="n">
        <x:f>J11+K8</x:f>
        <x:v>273312</x:v>
      </x:c>
      <x:c r="L11" s="64" t="n">
        <x:f>K11+L8</x:f>
        <x:v>300612</x:v>
      </x:c>
      <x:c r="M11" s="64" t="n">
        <x:f>L11+M8</x:f>
        <x:v>326412</x:v>
      </x:c>
      <x:c r="N11" s="64" t="n">
        <x:f>M11+N8</x:f>
        <x:v>352212</x:v>
      </x:c>
      <x:c r="O11" s="64" t="n">
        <x:f>N11+O8</x:f>
        <x:v>378012</x:v>
      </x:c>
      <x:c r="P11" s="64" t="n">
        <x:f>O11+P8</x:f>
        <x:v>399312</x:v>
      </x:c>
      <x:c r="Q11" s="64" t="n">
        <x:f>P11+Q8</x:f>
        <x:v>420612</x:v>
      </x:c>
      <x:c r="R11" s="64" t="n">
        <x:f>Q11+R8</x:f>
        <x:v>441912</x:v>
      </x:c>
    </x:row>
    <x:row r="13">
      <x:c r="A13" s="8" t="str">
        <x:v>BASE SCENARIO</x:v>
      </x:c>
      <x:c r="B13" s="8" t="str">
        <x:v>BASE SCENARIO</x:v>
      </x:c>
      <x:c r="C13" s="8" t="str">
        <x:v>BASE SCENARIO</x:v>
      </x:c>
      <x:c r="D13" s="8" t="str">
        <x:v>BASE SCENARIO</x:v>
      </x:c>
      <x:c r="E13" s="8" t="str">
        <x:v>BASE SCENARIO</x:v>
      </x:c>
      <x:c r="F13" s="8" t="str">
        <x:v>BASE SCENARIO</x:v>
      </x:c>
      <x:c r="G13" s="8" t="str">
        <x:v>BASE SCENARIO</x:v>
      </x:c>
      <x:c r="H13" s="8" t="str">
        <x:v>BASE SCENARIO</x:v>
      </x:c>
      <x:c r="I13" s="8" t="str">
        <x:v>BASE SCENARIO</x:v>
      </x:c>
      <x:c r="J13" s="8" t="str">
        <x:v>BASE SCENARIO</x:v>
      </x:c>
      <x:c r="K13" s="8" t="str">
        <x:v>BASE SCENARIO</x:v>
      </x:c>
      <x:c r="L13" s="8" t="str">
        <x:v>BASE SCENARIO</x:v>
      </x:c>
      <x:c r="M13" s="8" t="str">
        <x:v>BASE SCENARIO</x:v>
      </x:c>
      <x:c r="N13" s="8" t="str">
        <x:v>BASE SCENARIO</x:v>
      </x:c>
      <x:c r="O13" s="8" t="str">
        <x:v>BASE SCENARIO</x:v>
      </x:c>
      <x:c r="P13" s="8" t="str">
        <x:v>BASE SCENARIO</x:v>
      </x:c>
      <x:c r="Q13" s="8" t="str">
        <x:v>BASE SCENARIO</x:v>
      </x:c>
      <x:c r="R13" s="8" t="str">
        <x:v>BASE SCENARIO</x:v>
      </x:c>
    </x:row>
    <x:row r="14">
      <x:c r="A14" t="str">
        <x:v>Base</x:v>
      </x:c>
      <x:c r="B14" t="str">
        <x:v>OPEX</x:v>
      </x:c>
      <x:c r="C14" s="14" t="n">
        <x:f>SUMPRODUCT(('Assumptions'!$C$5:$C$17="OPEX")*('Assumptions'!$F$5:$F$17&lt;=C$3)*('Assumptions'!$G$5:$G$17&gt;=C$3)*(('Assumptions'!$E$5:$E$17="monthly")+(('Assumptions'!$E$5:$E$17="one_time")*('Assumptions'!$F$5:$F$17=C$3)))*'Assumptions'!$I$5:$I$17)</x:f>
        <x:v>20000</x:v>
      </x:c>
      <x:c r="D14" s="14" t="n">
        <x:f>SUMPRODUCT(('Assumptions'!$C$5:$C$17="OPEX")*('Assumptions'!$F$5:$F$17&lt;=D$3)*('Assumptions'!$G$5:$G$17&gt;=D$3)*(('Assumptions'!$E$5:$E$17="monthly")+(('Assumptions'!$E$5:$E$17="one_time")*('Assumptions'!$F$5:$F$17=D$3)))*'Assumptions'!$I$5:$I$17)</x:f>
        <x:v>58200</x:v>
      </x:c>
      <x:c r="E14" s="14" t="n">
        <x:f>SUMPRODUCT(('Assumptions'!$C$5:$C$17="OPEX")*('Assumptions'!$F$5:$F$17&lt;=E$3)*('Assumptions'!$G$5:$G$17&gt;=E$3)*(('Assumptions'!$E$5:$E$17="monthly")+(('Assumptions'!$E$5:$E$17="one_time")*('Assumptions'!$F$5:$F$17=E$3)))*'Assumptions'!$I$5:$I$17)</x:f>
        <x:v>39700</x:v>
      </x:c>
      <x:c r="F14" s="14" t="n">
        <x:f>SUMPRODUCT(('Assumptions'!$C$5:$C$17="OPEX")*('Assumptions'!$F$5:$F$17&lt;=F$3)*('Assumptions'!$G$5:$G$17&gt;=F$3)*(('Assumptions'!$E$5:$E$17="monthly")+(('Assumptions'!$E$5:$E$17="one_time")*('Assumptions'!$F$5:$F$17=F$3)))*'Assumptions'!$I$5:$I$17)</x:f>
        <x:v>39700</x:v>
      </x:c>
      <x:c r="G14" s="14" t="n">
        <x:f>SUMPRODUCT(('Assumptions'!$C$5:$C$17="OPEX")*('Assumptions'!$F$5:$F$17&lt;=G$3)*('Assumptions'!$G$5:$G$17&gt;=G$3)*(('Assumptions'!$E$5:$E$17="monthly")+(('Assumptions'!$E$5:$E$17="one_time")*('Assumptions'!$F$5:$F$17=G$3)))*'Assumptions'!$I$5:$I$17)</x:f>
        <x:v>43200</x:v>
      </x:c>
      <x:c r="H14" s="14" t="n">
        <x:f>SUMPRODUCT(('Assumptions'!$C$5:$C$17="OPEX")*('Assumptions'!$F$5:$F$17&lt;=H$3)*('Assumptions'!$G$5:$G$17&gt;=H$3)*(('Assumptions'!$E$5:$E$17="monthly")+(('Assumptions'!$E$5:$E$17="one_time")*('Assumptions'!$F$5:$F$17=H$3)))*'Assumptions'!$I$5:$I$17)</x:f>
        <x:v>49700</x:v>
      </x:c>
      <x:c r="I14" s="14" t="n">
        <x:f>SUMPRODUCT(('Assumptions'!$C$5:$C$17="OPEX")*('Assumptions'!$F$5:$F$17&lt;=I$3)*('Assumptions'!$G$5:$G$17&gt;=I$3)*(('Assumptions'!$E$5:$E$17="monthly")+(('Assumptions'!$E$5:$E$17="one_time")*('Assumptions'!$F$5:$F$17=I$3)))*'Assumptions'!$I$5:$I$17)</x:f>
        <x:v>49700</x:v>
      </x:c>
      <x:c r="J14" s="14" t="n">
        <x:f>SUMPRODUCT(('Assumptions'!$C$5:$C$17="OPEX")*('Assumptions'!$F$5:$F$17&lt;=J$3)*('Assumptions'!$G$5:$G$17&gt;=J$3)*(('Assumptions'!$E$5:$E$17="monthly")+(('Assumptions'!$E$5:$E$17="one_time")*('Assumptions'!$F$5:$F$17=J$3)))*'Assumptions'!$I$5:$I$17)</x:f>
        <x:v>49700</x:v>
      </x:c>
      <x:c r="K14" s="14" t="n">
        <x:f>SUMPRODUCT(('Assumptions'!$C$5:$C$17="OPEX")*('Assumptions'!$F$5:$F$17&lt;=K$3)*('Assumptions'!$G$5:$G$17&gt;=K$3)*(('Assumptions'!$E$5:$E$17="monthly")+(('Assumptions'!$E$5:$E$17="one_time")*('Assumptions'!$F$5:$F$17=K$3)))*'Assumptions'!$I$5:$I$17)</x:f>
        <x:v>49700</x:v>
      </x:c>
      <x:c r="L14" s="14" t="n">
        <x:f>SUMPRODUCT(('Assumptions'!$C$5:$C$17="OPEX")*('Assumptions'!$F$5:$F$17&lt;=L$3)*('Assumptions'!$G$5:$G$17&gt;=L$3)*(('Assumptions'!$E$5:$E$17="monthly")+(('Assumptions'!$E$5:$E$17="one_time")*('Assumptions'!$F$5:$F$17=L$3)))*'Assumptions'!$I$5:$I$17)</x:f>
        <x:v>49700</x:v>
      </x:c>
      <x:c r="M14" s="14" t="n">
        <x:f>SUMPRODUCT(('Assumptions'!$C$5:$C$17="OPEX")*('Assumptions'!$F$5:$F$17&lt;=M$3)*('Assumptions'!$G$5:$G$17&gt;=M$3)*(('Assumptions'!$E$5:$E$17="monthly")+(('Assumptions'!$E$5:$E$17="one_time")*('Assumptions'!$F$5:$F$17=M$3)))*'Assumptions'!$I$5:$I$17)</x:f>
        <x:v>46200</x:v>
      </x:c>
      <x:c r="N14" s="14" t="n">
        <x:f>SUMPRODUCT(('Assumptions'!$C$5:$C$17="OPEX")*('Assumptions'!$F$5:$F$17&lt;=N$3)*('Assumptions'!$G$5:$G$17&gt;=N$3)*(('Assumptions'!$E$5:$E$17="monthly")+(('Assumptions'!$E$5:$E$17="one_time")*('Assumptions'!$F$5:$F$17=N$3)))*'Assumptions'!$I$5:$I$17)</x:f>
        <x:v>46200</x:v>
      </x:c>
      <x:c r="O14" s="14" t="n">
        <x:f>SUMPRODUCT(('Assumptions'!$C$5:$C$17="OPEX")*('Assumptions'!$F$5:$F$17&lt;=O$3)*('Assumptions'!$G$5:$G$17&gt;=O$3)*(('Assumptions'!$E$5:$E$17="monthly")+(('Assumptions'!$E$5:$E$17="one_time")*('Assumptions'!$F$5:$F$17=O$3)))*'Assumptions'!$I$5:$I$17)</x:f>
        <x:v>46200</x:v>
      </x:c>
      <x:c r="P14" s="14" t="n">
        <x:f>SUMPRODUCT(('Assumptions'!$C$5:$C$17="OPEX")*('Assumptions'!$F$5:$F$17&lt;=P$3)*('Assumptions'!$G$5:$G$17&gt;=P$3)*(('Assumptions'!$E$5:$E$17="monthly")+(('Assumptions'!$E$5:$E$17="one_time")*('Assumptions'!$F$5:$F$17=P$3)))*'Assumptions'!$I$5:$I$17)</x:f>
        <x:v>36700</x:v>
      </x:c>
      <x:c r="Q14" s="14" t="n">
        <x:f>SUMPRODUCT(('Assumptions'!$C$5:$C$17="OPEX")*('Assumptions'!$F$5:$F$17&lt;=Q$3)*('Assumptions'!$G$5:$G$17&gt;=Q$3)*(('Assumptions'!$E$5:$E$17="monthly")+(('Assumptions'!$E$5:$E$17="one_time")*('Assumptions'!$F$5:$F$17=Q$3)))*'Assumptions'!$I$5:$I$17)</x:f>
        <x:v>36700</x:v>
      </x:c>
      <x:c r="R14" s="14" t="n">
        <x:f>SUMPRODUCT(('Assumptions'!$C$5:$C$17="OPEX")*('Assumptions'!$F$5:$F$17&lt;=R$3)*('Assumptions'!$G$5:$G$17&gt;=R$3)*(('Assumptions'!$E$5:$E$17="monthly")+(('Assumptions'!$E$5:$E$17="one_time")*('Assumptions'!$F$5:$F$17=R$3)))*'Assumptions'!$I$5:$I$17)</x:f>
        <x:v>36700</x:v>
      </x:c>
    </x:row>
    <x:row r="15">
      <x:c r="A15" t="str">
        <x:v>Base</x:v>
      </x:c>
      <x:c r="B15" t="str">
        <x:v>CAPEX</x:v>
      </x:c>
      <x:c r="C15" s="14" t="n">
        <x:f>SUMPRODUCT(('Assumptions'!$C$5:$C$17="CAPEX")*('Assumptions'!$F$5:$F$17&lt;=C$3)*('Assumptions'!$G$5:$G$17&gt;=C$3)*(('Assumptions'!$E$5:$E$17="monthly")+(('Assumptions'!$E$5:$E$17="one_time")*('Assumptions'!$F$5:$F$17=C$3)))*'Assumptions'!$I$5:$I$17)</x:f>
        <x:v>0</x:v>
      </x:c>
      <x:c r="D15" s="14" t="n">
        <x:f>SUMPRODUCT(('Assumptions'!$C$5:$C$17="CAPEX")*('Assumptions'!$F$5:$F$17&lt;=D$3)*('Assumptions'!$G$5:$G$17&gt;=D$3)*(('Assumptions'!$E$5:$E$17="monthly")+(('Assumptions'!$E$5:$E$17="one_time")*('Assumptions'!$F$5:$F$17=D$3)))*'Assumptions'!$I$5:$I$17)</x:f>
        <x:v>30000</x:v>
      </x:c>
      <x:c r="E15" s="14" t="n">
        <x:f>SUMPRODUCT(('Assumptions'!$C$5:$C$17="CAPEX")*('Assumptions'!$F$5:$F$17&lt;=E$3)*('Assumptions'!$G$5:$G$17&gt;=E$3)*(('Assumptions'!$E$5:$E$17="monthly")+(('Assumptions'!$E$5:$E$17="one_time")*('Assumptions'!$F$5:$F$17=E$3)))*'Assumptions'!$I$5:$I$17)</x:f>
        <x:v>45935</x:v>
      </x:c>
      <x:c r="F15" s="14" t="n">
        <x:f>SUMPRODUCT(('Assumptions'!$C$5:$C$17="CAPEX")*('Assumptions'!$F$5:$F$17&lt;=F$3)*('Assumptions'!$G$5:$G$17&gt;=F$3)*(('Assumptions'!$E$5:$E$17="monthly")+(('Assumptions'!$E$5:$E$17="one_time")*('Assumptions'!$F$5:$F$17=F$3)))*'Assumptions'!$I$5:$I$17)</x:f>
        <x:v>33000</x:v>
      </x:c>
      <x:c r="G15" s="14" t="n">
        <x:f>SUMPRODUCT(('Assumptions'!$C$5:$C$17="CAPEX")*('Assumptions'!$F$5:$F$17&lt;=G$3)*('Assumptions'!$G$5:$G$17&gt;=G$3)*(('Assumptions'!$E$5:$E$17="monthly")+(('Assumptions'!$E$5:$E$17="one_time")*('Assumptions'!$F$5:$F$17=G$3)))*'Assumptions'!$I$5:$I$17)</x:f>
        <x:v>0</x:v>
      </x:c>
      <x:c r="H15" s="14" t="n">
        <x:f>SUMPRODUCT(('Assumptions'!$C$5:$C$17="CAPEX")*('Assumptions'!$F$5:$F$17&lt;=H$3)*('Assumptions'!$G$5:$G$17&gt;=H$3)*(('Assumptions'!$E$5:$E$17="monthly")+(('Assumptions'!$E$5:$E$17="one_time")*('Assumptions'!$F$5:$F$17=H$3)))*'Assumptions'!$I$5:$I$17)</x:f>
        <x:v>0</x:v>
      </x:c>
      <x:c r="I15" s="14" t="n">
        <x:f>SUMPRODUCT(('Assumptions'!$C$5:$C$17="CAPEX")*('Assumptions'!$F$5:$F$17&lt;=I$3)*('Assumptions'!$G$5:$G$17&gt;=I$3)*(('Assumptions'!$E$5:$E$17="monthly")+(('Assumptions'!$E$5:$E$17="one_time")*('Assumptions'!$F$5:$F$17=I$3)))*'Assumptions'!$I$5:$I$17)</x:f>
        <x:v>0</x:v>
      </x:c>
      <x:c r="J15" s="14" t="n">
        <x:f>SUMPRODUCT(('Assumptions'!$C$5:$C$17="CAPEX")*('Assumptions'!$F$5:$F$17&lt;=J$3)*('Assumptions'!$G$5:$G$17&gt;=J$3)*(('Assumptions'!$E$5:$E$17="monthly")+(('Assumptions'!$E$5:$E$17="one_time")*('Assumptions'!$F$5:$F$17=J$3)))*'Assumptions'!$I$5:$I$17)</x:f>
        <x:v>0</x:v>
      </x:c>
      <x:c r="K15" s="14" t="n">
        <x:f>SUMPRODUCT(('Assumptions'!$C$5:$C$17="CAPEX")*('Assumptions'!$F$5:$F$17&lt;=K$3)*('Assumptions'!$G$5:$G$17&gt;=K$3)*(('Assumptions'!$E$5:$E$17="monthly")+(('Assumptions'!$E$5:$E$17="one_time")*('Assumptions'!$F$5:$F$17=K$3)))*'Assumptions'!$I$5:$I$17)</x:f>
        <x:v>0</x:v>
      </x:c>
      <x:c r="L15" s="14" t="n">
        <x:f>SUMPRODUCT(('Assumptions'!$C$5:$C$17="CAPEX")*('Assumptions'!$F$5:$F$17&lt;=L$3)*('Assumptions'!$G$5:$G$17&gt;=L$3)*(('Assumptions'!$E$5:$E$17="monthly")+(('Assumptions'!$E$5:$E$17="one_time")*('Assumptions'!$F$5:$F$17=L$3)))*'Assumptions'!$I$5:$I$17)</x:f>
        <x:v>0</x:v>
      </x:c>
      <x:c r="M15" s="14" t="n">
        <x:f>SUMPRODUCT(('Assumptions'!$C$5:$C$17="CAPEX")*('Assumptions'!$F$5:$F$17&lt;=M$3)*('Assumptions'!$G$5:$G$17&gt;=M$3)*(('Assumptions'!$E$5:$E$17="monthly")+(('Assumptions'!$E$5:$E$17="one_time")*('Assumptions'!$F$5:$F$17=M$3)))*'Assumptions'!$I$5:$I$17)</x:f>
        <x:v>0</x:v>
      </x:c>
      <x:c r="N15" s="14" t="n">
        <x:f>SUMPRODUCT(('Assumptions'!$C$5:$C$17="CAPEX")*('Assumptions'!$F$5:$F$17&lt;=N$3)*('Assumptions'!$G$5:$G$17&gt;=N$3)*(('Assumptions'!$E$5:$E$17="monthly")+(('Assumptions'!$E$5:$E$17="one_time")*('Assumptions'!$F$5:$F$17=N$3)))*'Assumptions'!$I$5:$I$17)</x:f>
        <x:v>0</x:v>
      </x:c>
      <x:c r="O15" s="14" t="n">
        <x:f>SUMPRODUCT(('Assumptions'!$C$5:$C$17="CAPEX")*('Assumptions'!$F$5:$F$17&lt;=O$3)*('Assumptions'!$G$5:$G$17&gt;=O$3)*(('Assumptions'!$E$5:$E$17="monthly")+(('Assumptions'!$E$5:$E$17="one_time")*('Assumptions'!$F$5:$F$17=O$3)))*'Assumptions'!$I$5:$I$17)</x:f>
        <x:v>0</x:v>
      </x:c>
      <x:c r="P15" s="14" t="n">
        <x:f>SUMPRODUCT(('Assumptions'!$C$5:$C$17="CAPEX")*('Assumptions'!$F$5:$F$17&lt;=P$3)*('Assumptions'!$G$5:$G$17&gt;=P$3)*(('Assumptions'!$E$5:$E$17="monthly")+(('Assumptions'!$E$5:$E$17="one_time")*('Assumptions'!$F$5:$F$17=P$3)))*'Assumptions'!$I$5:$I$17)</x:f>
        <x:v>0</x:v>
      </x:c>
      <x:c r="Q15" s="14" t="n">
        <x:f>SUMPRODUCT(('Assumptions'!$C$5:$C$17="CAPEX")*('Assumptions'!$F$5:$F$17&lt;=Q$3)*('Assumptions'!$G$5:$G$17&gt;=Q$3)*(('Assumptions'!$E$5:$E$17="monthly")+(('Assumptions'!$E$5:$E$17="one_time")*('Assumptions'!$F$5:$F$17=Q$3)))*'Assumptions'!$I$5:$I$17)</x:f>
        <x:v>0</x:v>
      </x:c>
      <x:c r="R15" s="14" t="n">
        <x:f>SUMPRODUCT(('Assumptions'!$C$5:$C$17="CAPEX")*('Assumptions'!$F$5:$F$17&lt;=R$3)*('Assumptions'!$G$5:$G$17&gt;=R$3)*(('Assumptions'!$E$5:$E$17="monthly")+(('Assumptions'!$E$5:$E$17="one_time")*('Assumptions'!$F$5:$F$17=R$3)))*'Assumptions'!$I$5:$I$17)</x:f>
        <x:v>0</x:v>
      </x:c>
    </x:row>
    <x:row r="16">
      <x:c r="A16" t="str">
        <x:v>Base</x:v>
      </x:c>
      <x:c r="B16" s="60" t="str">
        <x:v>Total cash out</x:v>
      </x:c>
      <x:c r="C16" s="61" t="n">
        <x:f>C14+C15</x:f>
        <x:v>20000</x:v>
      </x:c>
      <x:c r="D16" s="61" t="n">
        <x:f>D14+D15</x:f>
        <x:v>88200</x:v>
      </x:c>
      <x:c r="E16" s="61" t="n">
        <x:f>E14+E15</x:f>
        <x:v>85635</x:v>
      </x:c>
      <x:c r="F16" s="61" t="n">
        <x:f>F14+F15</x:f>
        <x:v>72700</x:v>
      </x:c>
      <x:c r="G16" s="61" t="n">
        <x:f>G14+G15</x:f>
        <x:v>43200</x:v>
      </x:c>
      <x:c r="H16" s="61" t="n">
        <x:f>H14+H15</x:f>
        <x:v>49700</x:v>
      </x:c>
      <x:c r="I16" s="61" t="n">
        <x:f>I14+I15</x:f>
        <x:v>49700</x:v>
      </x:c>
      <x:c r="J16" s="61" t="n">
        <x:f>J14+J15</x:f>
        <x:v>49700</x:v>
      </x:c>
      <x:c r="K16" s="61" t="n">
        <x:f>K14+K15</x:f>
        <x:v>49700</x:v>
      </x:c>
      <x:c r="L16" s="61" t="n">
        <x:f>L14+L15</x:f>
        <x:v>49700</x:v>
      </x:c>
      <x:c r="M16" s="61" t="n">
        <x:f>M14+M15</x:f>
        <x:v>46200</x:v>
      </x:c>
      <x:c r="N16" s="61" t="n">
        <x:f>N14+N15</x:f>
        <x:v>46200</x:v>
      </x:c>
      <x:c r="O16" s="61" t="n">
        <x:f>O14+O15</x:f>
        <x:v>46200</x:v>
      </x:c>
      <x:c r="P16" s="61" t="n">
        <x:f>P14+P15</x:f>
        <x:v>36700</x:v>
      </x:c>
      <x:c r="Q16" s="61" t="n">
        <x:f>Q14+Q15</x:f>
        <x:v>36700</x:v>
      </x:c>
      <x:c r="R16" s="61" t="n">
        <x:f>R14+R15</x:f>
        <x:v>36700</x:v>
      </x:c>
    </x:row>
    <x:row r="17">
      <x:c r="A17" t="str">
        <x:v>Base</x:v>
      </x:c>
      <x:c r="B17" t="str">
        <x:v>Revenue</x:v>
      </x:c>
      <x:c r="C17" s="14" t="n">
        <x:f>0</x:f>
        <x:v>0</x:v>
      </x:c>
      <x:c r="D17" s="14" t="n">
        <x:f>0</x:f>
        <x:v>0</x:v>
      </x:c>
      <x:c r="E17" s="14" t="n">
        <x:f>0</x:f>
        <x:v>0</x:v>
      </x:c>
      <x:c r="F17" s="14" t="n">
        <x:f>0</x:f>
        <x:v>0</x:v>
      </x:c>
      <x:c r="G17" s="14" t="n">
        <x:f>0</x:f>
        <x:v>0</x:v>
      </x:c>
      <x:c r="H17" s="14" t="n">
        <x:f>0</x:f>
        <x:v>0</x:v>
      </x:c>
      <x:c r="I17" s="14" t="n">
        <x:f>0</x:f>
        <x:v>0</x:v>
      </x:c>
      <x:c r="J17" s="14" t="n">
        <x:f>0</x:f>
        <x:v>0</x:v>
      </x:c>
      <x:c r="K17" s="14" t="n">
        <x:f>0</x:f>
        <x:v>0</x:v>
      </x:c>
      <x:c r="L17" s="14" t="n">
        <x:f>0</x:f>
        <x:v>0</x:v>
      </x:c>
      <x:c r="M17" s="14" t="n">
        <x:f>0</x:f>
        <x:v>0</x:v>
      </x:c>
      <x:c r="N17" s="14" t="n">
        <x:f>0</x:f>
        <x:v>0</x:v>
      </x:c>
      <x:c r="O17" s="14" t="n">
        <x:f>0</x:f>
        <x:v>0</x:v>
      </x:c>
      <x:c r="P17" s="14" t="n">
        <x:f>0</x:f>
        <x:v>0</x:v>
      </x:c>
      <x:c r="Q17" s="14" t="n">
        <x:f>0</x:f>
        <x:v>0</x:v>
      </x:c>
      <x:c r="R17" s="14" t="n">
        <x:f>0</x:f>
        <x:v>0</x:v>
      </x:c>
    </x:row>
    <x:row r="18">
      <x:c r="A18" t="str">
        <x:v>Base</x:v>
      </x:c>
      <x:c r="B18" t="str">
        <x:v>EBITDA / cash proxy</x:v>
      </x:c>
      <x:c r="C18" s="14" t="n">
        <x:f>C17-C14</x:f>
        <x:v>-20000</x:v>
      </x:c>
      <x:c r="D18" s="14" t="n">
        <x:f>D17-D14</x:f>
        <x:v>-58200</x:v>
      </x:c>
      <x:c r="E18" s="14" t="n">
        <x:f>E17-E14</x:f>
        <x:v>-39700</x:v>
      </x:c>
      <x:c r="F18" s="14" t="n">
        <x:f>F17-F14</x:f>
        <x:v>-39700</x:v>
      </x:c>
      <x:c r="G18" s="14" t="n">
        <x:f>G17-G14</x:f>
        <x:v>-43200</x:v>
      </x:c>
      <x:c r="H18" s="14" t="n">
        <x:f>H17-H14</x:f>
        <x:v>-49700</x:v>
      </x:c>
      <x:c r="I18" s="14" t="n">
        <x:f>I17-I14</x:f>
        <x:v>-49700</x:v>
      </x:c>
      <x:c r="J18" s="14" t="n">
        <x:f>J17-J14</x:f>
        <x:v>-49700</x:v>
      </x:c>
      <x:c r="K18" s="14" t="n">
        <x:f>K17-K14</x:f>
        <x:v>-49700</x:v>
      </x:c>
      <x:c r="L18" s="14" t="n">
        <x:f>L17-L14</x:f>
        <x:v>-49700</x:v>
      </x:c>
      <x:c r="M18" s="14" t="n">
        <x:f>M17-M14</x:f>
        <x:v>-46200</x:v>
      </x:c>
      <x:c r="N18" s="14" t="n">
        <x:f>N17-N14</x:f>
        <x:v>-46200</x:v>
      </x:c>
      <x:c r="O18" s="14" t="n">
        <x:f>O17-O14</x:f>
        <x:v>-46200</x:v>
      </x:c>
      <x:c r="P18" s="14" t="n">
        <x:f>P17-P14</x:f>
        <x:v>-36700</x:v>
      </x:c>
      <x:c r="Q18" s="14" t="n">
        <x:f>Q17-Q14</x:f>
        <x:v>-36700</x:v>
      </x:c>
      <x:c r="R18" s="14" t="n">
        <x:f>R17-R14</x:f>
        <x:v>-36700</x:v>
      </x:c>
    </x:row>
    <x:row r="19">
      <x:c r="A19" t="str">
        <x:v>Base</x:v>
      </x:c>
      <x:c r="B19" s="63" t="str">
        <x:v>Cumulative cash need</x:v>
      </x:c>
      <x:c r="C19" s="64" t="n">
        <x:f>C16</x:f>
        <x:v>20000</x:v>
      </x:c>
      <x:c r="D19" s="64" t="n">
        <x:f>C19+D16</x:f>
        <x:v>108200</x:v>
      </x:c>
      <x:c r="E19" s="64" t="n">
        <x:f>D19+E16</x:f>
        <x:v>193835</x:v>
      </x:c>
      <x:c r="F19" s="64" t="n">
        <x:f>E19+F16</x:f>
        <x:v>266535</x:v>
      </x:c>
      <x:c r="G19" s="64" t="n">
        <x:f>F19+G16</x:f>
        <x:v>309735</x:v>
      </x:c>
      <x:c r="H19" s="64" t="n">
        <x:f>G19+H16</x:f>
        <x:v>359435</x:v>
      </x:c>
      <x:c r="I19" s="64" t="n">
        <x:f>H19+I16</x:f>
        <x:v>409135</x:v>
      </x:c>
      <x:c r="J19" s="64" t="n">
        <x:f>I19+J16</x:f>
        <x:v>458835</x:v>
      </x:c>
      <x:c r="K19" s="64" t="n">
        <x:f>J19+K16</x:f>
        <x:v>508535</x:v>
      </x:c>
      <x:c r="L19" s="64" t="n">
        <x:f>K19+L16</x:f>
        <x:v>558235</x:v>
      </x:c>
      <x:c r="M19" s="64" t="n">
        <x:f>L19+M16</x:f>
        <x:v>604435</x:v>
      </x:c>
      <x:c r="N19" s="64" t="n">
        <x:f>M19+N16</x:f>
        <x:v>650635</x:v>
      </x:c>
      <x:c r="O19" s="64" t="n">
        <x:f>N19+O16</x:f>
        <x:v>696835</x:v>
      </x:c>
      <x:c r="P19" s="64" t="n">
        <x:f>O19+P16</x:f>
        <x:v>733535</x:v>
      </x:c>
      <x:c r="Q19" s="64" t="n">
        <x:f>P19+Q16</x:f>
        <x:v>770235</x:v>
      </x:c>
      <x:c r="R19" s="64" t="n">
        <x:f>Q19+R16</x:f>
        <x:v>806935</x:v>
      </x:c>
    </x:row>
    <x:row r="21">
      <x:c r="A21" s="8" t="str">
        <x:v>ACCELERATED SCENARIO</x:v>
      </x:c>
      <x:c r="B21" s="8" t="str">
        <x:v>ACCELERATED SCENARIO</x:v>
      </x:c>
      <x:c r="C21" s="8" t="str">
        <x:v>ACCELERATED SCENARIO</x:v>
      </x:c>
      <x:c r="D21" s="8" t="str">
        <x:v>ACCELERATED SCENARIO</x:v>
      </x:c>
      <x:c r="E21" s="8" t="str">
        <x:v>ACCELERATED SCENARIO</x:v>
      </x:c>
      <x:c r="F21" s="8" t="str">
        <x:v>ACCELERATED SCENARIO</x:v>
      </x:c>
      <x:c r="G21" s="8" t="str">
        <x:v>ACCELERATED SCENARIO</x:v>
      </x:c>
      <x:c r="H21" s="8" t="str">
        <x:v>ACCELERATED SCENARIO</x:v>
      </x:c>
      <x:c r="I21" s="8" t="str">
        <x:v>ACCELERATED SCENARIO</x:v>
      </x:c>
      <x:c r="J21" s="8" t="str">
        <x:v>ACCELERATED SCENARIO</x:v>
      </x:c>
      <x:c r="K21" s="8" t="str">
        <x:v>ACCELERATED SCENARIO</x:v>
      </x:c>
      <x:c r="L21" s="8" t="str">
        <x:v>ACCELERATED SCENARIO</x:v>
      </x:c>
      <x:c r="M21" s="8" t="str">
        <x:v>ACCELERATED SCENARIO</x:v>
      </x:c>
      <x:c r="N21" s="8" t="str">
        <x:v>ACCELERATED SCENARIO</x:v>
      </x:c>
      <x:c r="O21" s="8" t="str">
        <x:v>ACCELERATED SCENARIO</x:v>
      </x:c>
      <x:c r="P21" s="8" t="str">
        <x:v>ACCELERATED SCENARIO</x:v>
      </x:c>
      <x:c r="Q21" s="8" t="str">
        <x:v>ACCELERATED SCENARIO</x:v>
      </x:c>
      <x:c r="R21" s="8" t="str">
        <x:v>ACCELERATED SCENARIO</x:v>
      </x:c>
    </x:row>
    <x:row r="22">
      <x:c r="A22" t="str">
        <x:v>Accelerated</x:v>
      </x:c>
      <x:c r="B22" t="str">
        <x:v>OPEX</x:v>
      </x:c>
      <x:c r="C22" s="14" t="n">
        <x:f>SUMPRODUCT(('Assumptions'!$C$5:$C$17="OPEX")*('Assumptions'!$F$5:$F$17&lt;=C$3)*('Assumptions'!$G$5:$G$17&gt;=C$3)*(('Assumptions'!$E$5:$E$17="monthly")+(('Assumptions'!$E$5:$E$17="one_time")*('Assumptions'!$F$5:$F$17=C$3)))*'Assumptions'!$J$5:$J$17)</x:f>
        <x:v>40000</x:v>
      </x:c>
      <x:c r="D22" s="14" t="n">
        <x:f>SUMPRODUCT(('Assumptions'!$C$5:$C$17="OPEX")*('Assumptions'!$F$5:$F$17&lt;=D$3)*('Assumptions'!$G$5:$G$17&gt;=D$3)*(('Assumptions'!$E$5:$E$17="monthly")+(('Assumptions'!$E$5:$E$17="one_time")*('Assumptions'!$F$5:$F$17=D$3)))*'Assumptions'!$J$5:$J$17)</x:f>
        <x:v>102000</x:v>
      </x:c>
      <x:c r="E22" s="14" t="n">
        <x:f>SUMPRODUCT(('Assumptions'!$C$5:$C$17="OPEX")*('Assumptions'!$F$5:$F$17&lt;=E$3)*('Assumptions'!$G$5:$G$17&gt;=E$3)*(('Assumptions'!$E$5:$E$17="monthly")+(('Assumptions'!$E$5:$E$17="one_time")*('Assumptions'!$F$5:$F$17=E$3)))*'Assumptions'!$J$5:$J$17)</x:f>
        <x:v>69500</x:v>
      </x:c>
      <x:c r="F22" s="14" t="n">
        <x:f>SUMPRODUCT(('Assumptions'!$C$5:$C$17="OPEX")*('Assumptions'!$F$5:$F$17&lt;=F$3)*('Assumptions'!$G$5:$G$17&gt;=F$3)*(('Assumptions'!$E$5:$E$17="monthly")+(('Assumptions'!$E$5:$E$17="one_time")*('Assumptions'!$F$5:$F$17=F$3)))*'Assumptions'!$J$5:$J$17)</x:f>
        <x:v>69500</x:v>
      </x:c>
      <x:c r="G22" s="14" t="n">
        <x:f>SUMPRODUCT(('Assumptions'!$C$5:$C$17="OPEX")*('Assumptions'!$F$5:$F$17&lt;=G$3)*('Assumptions'!$G$5:$G$17&gt;=G$3)*(('Assumptions'!$E$5:$E$17="monthly")+(('Assumptions'!$E$5:$E$17="one_time")*('Assumptions'!$F$5:$F$17=G$3)))*'Assumptions'!$J$5:$J$17)</x:f>
        <x:v>76500</x:v>
      </x:c>
      <x:c r="H22" s="14" t="n">
        <x:f>SUMPRODUCT(('Assumptions'!$C$5:$C$17="OPEX")*('Assumptions'!$F$5:$F$17&lt;=H$3)*('Assumptions'!$G$5:$G$17&gt;=H$3)*(('Assumptions'!$E$5:$E$17="monthly")+(('Assumptions'!$E$5:$E$17="one_time")*('Assumptions'!$F$5:$F$17=H$3)))*'Assumptions'!$J$5:$J$17)</x:f>
        <x:v>88500</x:v>
      </x:c>
      <x:c r="I22" s="14" t="n">
        <x:f>SUMPRODUCT(('Assumptions'!$C$5:$C$17="OPEX")*('Assumptions'!$F$5:$F$17&lt;=I$3)*('Assumptions'!$G$5:$G$17&gt;=I$3)*(('Assumptions'!$E$5:$E$17="monthly")+(('Assumptions'!$E$5:$E$17="one_time")*('Assumptions'!$F$5:$F$17=I$3)))*'Assumptions'!$J$5:$J$17)</x:f>
        <x:v>88500</x:v>
      </x:c>
      <x:c r="J22" s="14" t="n">
        <x:f>SUMPRODUCT(('Assumptions'!$C$5:$C$17="OPEX")*('Assumptions'!$F$5:$F$17&lt;=J$3)*('Assumptions'!$G$5:$G$17&gt;=J$3)*(('Assumptions'!$E$5:$E$17="monthly")+(('Assumptions'!$E$5:$E$17="one_time")*('Assumptions'!$F$5:$F$17=J$3)))*'Assumptions'!$J$5:$J$17)</x:f>
        <x:v>88500</x:v>
      </x:c>
      <x:c r="K22" s="14" t="n">
        <x:f>SUMPRODUCT(('Assumptions'!$C$5:$C$17="OPEX")*('Assumptions'!$F$5:$F$17&lt;=K$3)*('Assumptions'!$G$5:$G$17&gt;=K$3)*(('Assumptions'!$E$5:$E$17="monthly")+(('Assumptions'!$E$5:$E$17="one_time")*('Assumptions'!$F$5:$F$17=K$3)))*'Assumptions'!$J$5:$J$17)</x:f>
        <x:v>88500</x:v>
      </x:c>
      <x:c r="L22" s="14" t="n">
        <x:f>SUMPRODUCT(('Assumptions'!$C$5:$C$17="OPEX")*('Assumptions'!$F$5:$F$17&lt;=L$3)*('Assumptions'!$G$5:$G$17&gt;=L$3)*(('Assumptions'!$E$5:$E$17="monthly")+(('Assumptions'!$E$5:$E$17="one_time")*('Assumptions'!$F$5:$F$17=L$3)))*'Assumptions'!$J$5:$J$17)</x:f>
        <x:v>88500</x:v>
      </x:c>
      <x:c r="M22" s="14" t="n">
        <x:f>SUMPRODUCT(('Assumptions'!$C$5:$C$17="OPEX")*('Assumptions'!$F$5:$F$17&lt;=M$3)*('Assumptions'!$G$5:$G$17&gt;=M$3)*(('Assumptions'!$E$5:$E$17="monthly")+(('Assumptions'!$E$5:$E$17="one_time")*('Assumptions'!$F$5:$F$17=M$3)))*'Assumptions'!$J$5:$J$17)</x:f>
        <x:v>81500</x:v>
      </x:c>
      <x:c r="N22" s="14" t="n">
        <x:f>SUMPRODUCT(('Assumptions'!$C$5:$C$17="OPEX")*('Assumptions'!$F$5:$F$17&lt;=N$3)*('Assumptions'!$G$5:$G$17&gt;=N$3)*(('Assumptions'!$E$5:$E$17="monthly")+(('Assumptions'!$E$5:$E$17="one_time")*('Assumptions'!$F$5:$F$17=N$3)))*'Assumptions'!$J$5:$J$17)</x:f>
        <x:v>81500</x:v>
      </x:c>
      <x:c r="O22" s="14" t="n">
        <x:f>SUMPRODUCT(('Assumptions'!$C$5:$C$17="OPEX")*('Assumptions'!$F$5:$F$17&lt;=O$3)*('Assumptions'!$G$5:$G$17&gt;=O$3)*(('Assumptions'!$E$5:$E$17="monthly")+(('Assumptions'!$E$5:$E$17="one_time")*('Assumptions'!$F$5:$F$17=O$3)))*'Assumptions'!$J$5:$J$17)</x:f>
        <x:v>81500</x:v>
      </x:c>
      <x:c r="P22" s="14" t="n">
        <x:f>SUMPRODUCT(('Assumptions'!$C$5:$C$17="OPEX")*('Assumptions'!$F$5:$F$17&lt;=P$3)*('Assumptions'!$G$5:$G$17&gt;=P$3)*(('Assumptions'!$E$5:$E$17="monthly")+(('Assumptions'!$E$5:$E$17="one_time")*('Assumptions'!$F$5:$F$17=P$3)))*'Assumptions'!$J$5:$J$17)</x:f>
        <x:v>63500</x:v>
      </x:c>
      <x:c r="Q22" s="14" t="n">
        <x:f>SUMPRODUCT(('Assumptions'!$C$5:$C$17="OPEX")*('Assumptions'!$F$5:$F$17&lt;=Q$3)*('Assumptions'!$G$5:$G$17&gt;=Q$3)*(('Assumptions'!$E$5:$E$17="monthly")+(('Assumptions'!$E$5:$E$17="one_time")*('Assumptions'!$F$5:$F$17=Q$3)))*'Assumptions'!$J$5:$J$17)</x:f>
        <x:v>63500</x:v>
      </x:c>
      <x:c r="R22" s="14" t="n">
        <x:f>SUMPRODUCT(('Assumptions'!$C$5:$C$17="OPEX")*('Assumptions'!$F$5:$F$17&lt;=R$3)*('Assumptions'!$G$5:$G$17&gt;=R$3)*(('Assumptions'!$E$5:$E$17="monthly")+(('Assumptions'!$E$5:$E$17="one_time")*('Assumptions'!$F$5:$F$17=R$3)))*'Assumptions'!$J$5:$J$17)</x:f>
        <x:v>63500</x:v>
      </x:c>
    </x:row>
    <x:row r="23">
      <x:c r="A23" t="str">
        <x:v>Accelerated</x:v>
      </x:c>
      <x:c r="B23" t="str">
        <x:v>CAPEX</x:v>
      </x:c>
      <x:c r="C23" s="14" t="n">
        <x:f>SUMPRODUCT(('Assumptions'!$C$5:$C$17="CAPEX")*('Assumptions'!$F$5:$F$17&lt;=C$3)*('Assumptions'!$G$5:$G$17&gt;=C$3)*(('Assumptions'!$E$5:$E$17="monthly")+(('Assumptions'!$E$5:$E$17="one_time")*('Assumptions'!$F$5:$F$17=C$3)))*'Assumptions'!$J$5:$J$17)</x:f>
        <x:v>0</x:v>
      </x:c>
      <x:c r="D23" s="14" t="n">
        <x:f>SUMPRODUCT(('Assumptions'!$C$5:$C$17="CAPEX")*('Assumptions'!$F$5:$F$17&lt;=D$3)*('Assumptions'!$G$5:$G$17&gt;=D$3)*(('Assumptions'!$E$5:$E$17="monthly")+(('Assumptions'!$E$5:$E$17="one_time")*('Assumptions'!$F$5:$F$17=D$3)))*'Assumptions'!$J$5:$J$17)</x:f>
        <x:v>45000</x:v>
      </x:c>
      <x:c r="E23" s="14" t="n">
        <x:f>SUMPRODUCT(('Assumptions'!$C$5:$C$17="CAPEX")*('Assumptions'!$F$5:$F$17&lt;=E$3)*('Assumptions'!$G$5:$G$17&gt;=E$3)*(('Assumptions'!$E$5:$E$17="monthly")+(('Assumptions'!$E$5:$E$17="one_time")*('Assumptions'!$F$5:$F$17=E$3)))*'Assumptions'!$J$5:$J$17)</x:f>
        <x:v>89457</x:v>
      </x:c>
      <x:c r="F23" s="14" t="n">
        <x:f>SUMPRODUCT(('Assumptions'!$C$5:$C$17="CAPEX")*('Assumptions'!$F$5:$F$17&lt;=F$3)*('Assumptions'!$G$5:$G$17&gt;=F$3)*(('Assumptions'!$E$5:$E$17="monthly")+(('Assumptions'!$E$5:$E$17="one_time")*('Assumptions'!$F$5:$F$17=F$3)))*'Assumptions'!$J$5:$J$17)</x:f>
        <x:v>70000</x:v>
      </x:c>
      <x:c r="G23" s="14" t="n">
        <x:f>SUMPRODUCT(('Assumptions'!$C$5:$C$17="CAPEX")*('Assumptions'!$F$5:$F$17&lt;=G$3)*('Assumptions'!$G$5:$G$17&gt;=G$3)*(('Assumptions'!$E$5:$E$17="monthly")+(('Assumptions'!$E$5:$E$17="one_time")*('Assumptions'!$F$5:$F$17=G$3)))*'Assumptions'!$J$5:$J$17)</x:f>
        <x:v>0</x:v>
      </x:c>
      <x:c r="H23" s="14" t="n">
        <x:f>SUMPRODUCT(('Assumptions'!$C$5:$C$17="CAPEX")*('Assumptions'!$F$5:$F$17&lt;=H$3)*('Assumptions'!$G$5:$G$17&gt;=H$3)*(('Assumptions'!$E$5:$E$17="monthly")+(('Assumptions'!$E$5:$E$17="one_time")*('Assumptions'!$F$5:$F$17=H$3)))*'Assumptions'!$J$5:$J$17)</x:f>
        <x:v>0</x:v>
      </x:c>
      <x:c r="I23" s="14" t="n">
        <x:f>SUMPRODUCT(('Assumptions'!$C$5:$C$17="CAPEX")*('Assumptions'!$F$5:$F$17&lt;=I$3)*('Assumptions'!$G$5:$G$17&gt;=I$3)*(('Assumptions'!$E$5:$E$17="monthly")+(('Assumptions'!$E$5:$E$17="one_time")*('Assumptions'!$F$5:$F$17=I$3)))*'Assumptions'!$J$5:$J$17)</x:f>
        <x:v>0</x:v>
      </x:c>
      <x:c r="J23" s="14" t="n">
        <x:f>SUMPRODUCT(('Assumptions'!$C$5:$C$17="CAPEX")*('Assumptions'!$F$5:$F$17&lt;=J$3)*('Assumptions'!$G$5:$G$17&gt;=J$3)*(('Assumptions'!$E$5:$E$17="monthly")+(('Assumptions'!$E$5:$E$17="one_time")*('Assumptions'!$F$5:$F$17=J$3)))*'Assumptions'!$J$5:$J$17)</x:f>
        <x:v>0</x:v>
      </x:c>
      <x:c r="K23" s="14" t="n">
        <x:f>SUMPRODUCT(('Assumptions'!$C$5:$C$17="CAPEX")*('Assumptions'!$F$5:$F$17&lt;=K$3)*('Assumptions'!$G$5:$G$17&gt;=K$3)*(('Assumptions'!$E$5:$E$17="monthly")+(('Assumptions'!$E$5:$E$17="one_time")*('Assumptions'!$F$5:$F$17=K$3)))*'Assumptions'!$J$5:$J$17)</x:f>
        <x:v>0</x:v>
      </x:c>
      <x:c r="L23" s="14" t="n">
        <x:f>SUMPRODUCT(('Assumptions'!$C$5:$C$17="CAPEX")*('Assumptions'!$F$5:$F$17&lt;=L$3)*('Assumptions'!$G$5:$G$17&gt;=L$3)*(('Assumptions'!$E$5:$E$17="monthly")+(('Assumptions'!$E$5:$E$17="one_time")*('Assumptions'!$F$5:$F$17=L$3)))*'Assumptions'!$J$5:$J$17)</x:f>
        <x:v>0</x:v>
      </x:c>
      <x:c r="M23" s="14" t="n">
        <x:f>SUMPRODUCT(('Assumptions'!$C$5:$C$17="CAPEX")*('Assumptions'!$F$5:$F$17&lt;=M$3)*('Assumptions'!$G$5:$G$17&gt;=M$3)*(('Assumptions'!$E$5:$E$17="monthly")+(('Assumptions'!$E$5:$E$17="one_time")*('Assumptions'!$F$5:$F$17=M$3)))*'Assumptions'!$J$5:$J$17)</x:f>
        <x:v>0</x:v>
      </x:c>
      <x:c r="N23" s="14" t="n">
        <x:f>SUMPRODUCT(('Assumptions'!$C$5:$C$17="CAPEX")*('Assumptions'!$F$5:$F$17&lt;=N$3)*('Assumptions'!$G$5:$G$17&gt;=N$3)*(('Assumptions'!$E$5:$E$17="monthly")+(('Assumptions'!$E$5:$E$17="one_time")*('Assumptions'!$F$5:$F$17=N$3)))*'Assumptions'!$J$5:$J$17)</x:f>
        <x:v>0</x:v>
      </x:c>
      <x:c r="O23" s="14" t="n">
        <x:f>SUMPRODUCT(('Assumptions'!$C$5:$C$17="CAPEX")*('Assumptions'!$F$5:$F$17&lt;=O$3)*('Assumptions'!$G$5:$G$17&gt;=O$3)*(('Assumptions'!$E$5:$E$17="monthly")+(('Assumptions'!$E$5:$E$17="one_time")*('Assumptions'!$F$5:$F$17=O$3)))*'Assumptions'!$J$5:$J$17)</x:f>
        <x:v>0</x:v>
      </x:c>
      <x:c r="P23" s="14" t="n">
        <x:f>SUMPRODUCT(('Assumptions'!$C$5:$C$17="CAPEX")*('Assumptions'!$F$5:$F$17&lt;=P$3)*('Assumptions'!$G$5:$G$17&gt;=P$3)*(('Assumptions'!$E$5:$E$17="monthly")+(('Assumptions'!$E$5:$E$17="one_time")*('Assumptions'!$F$5:$F$17=P$3)))*'Assumptions'!$J$5:$J$17)</x:f>
        <x:v>0</x:v>
      </x:c>
      <x:c r="Q23" s="14" t="n">
        <x:f>SUMPRODUCT(('Assumptions'!$C$5:$C$17="CAPEX")*('Assumptions'!$F$5:$F$17&lt;=Q$3)*('Assumptions'!$G$5:$G$17&gt;=Q$3)*(('Assumptions'!$E$5:$E$17="monthly")+(('Assumptions'!$E$5:$E$17="one_time")*('Assumptions'!$F$5:$F$17=Q$3)))*'Assumptions'!$J$5:$J$17)</x:f>
        <x:v>0</x:v>
      </x:c>
      <x:c r="R23" s="14" t="n">
        <x:f>SUMPRODUCT(('Assumptions'!$C$5:$C$17="CAPEX")*('Assumptions'!$F$5:$F$17&lt;=R$3)*('Assumptions'!$G$5:$G$17&gt;=R$3)*(('Assumptions'!$E$5:$E$17="monthly")+(('Assumptions'!$E$5:$E$17="one_time")*('Assumptions'!$F$5:$F$17=R$3)))*'Assumptions'!$J$5:$J$17)</x:f>
        <x:v>0</x:v>
      </x:c>
    </x:row>
    <x:row r="24">
      <x:c r="A24" t="str">
        <x:v>Accelerated</x:v>
      </x:c>
      <x:c r="B24" s="60" t="str">
        <x:v>Total cash out</x:v>
      </x:c>
      <x:c r="C24" s="61" t="n">
        <x:f>C22+C23</x:f>
        <x:v>40000</x:v>
      </x:c>
      <x:c r="D24" s="61" t="n">
        <x:f>D22+D23</x:f>
        <x:v>147000</x:v>
      </x:c>
      <x:c r="E24" s="61" t="n">
        <x:f>E22+E23</x:f>
        <x:v>158957</x:v>
      </x:c>
      <x:c r="F24" s="61" t="n">
        <x:f>F22+F23</x:f>
        <x:v>139500</x:v>
      </x:c>
      <x:c r="G24" s="61" t="n">
        <x:f>G22+G23</x:f>
        <x:v>76500</x:v>
      </x:c>
      <x:c r="H24" s="61" t="n">
        <x:f>H22+H23</x:f>
        <x:v>88500</x:v>
      </x:c>
      <x:c r="I24" s="61" t="n">
        <x:f>I22+I23</x:f>
        <x:v>88500</x:v>
      </x:c>
      <x:c r="J24" s="61" t="n">
        <x:f>J22+J23</x:f>
        <x:v>88500</x:v>
      </x:c>
      <x:c r="K24" s="61" t="n">
        <x:f>K22+K23</x:f>
        <x:v>88500</x:v>
      </x:c>
      <x:c r="L24" s="61" t="n">
        <x:f>L22+L23</x:f>
        <x:v>88500</x:v>
      </x:c>
      <x:c r="M24" s="61" t="n">
        <x:f>M22+M23</x:f>
        <x:v>81500</x:v>
      </x:c>
      <x:c r="N24" s="61" t="n">
        <x:f>N22+N23</x:f>
        <x:v>81500</x:v>
      </x:c>
      <x:c r="O24" s="61" t="n">
        <x:f>O22+O23</x:f>
        <x:v>81500</x:v>
      </x:c>
      <x:c r="P24" s="61" t="n">
        <x:f>P22+P23</x:f>
        <x:v>63500</x:v>
      </x:c>
      <x:c r="Q24" s="61" t="n">
        <x:f>Q22+Q23</x:f>
        <x:v>63500</x:v>
      </x:c>
      <x:c r="R24" s="61" t="n">
        <x:f>R22+R23</x:f>
        <x:v>63500</x:v>
      </x:c>
    </x:row>
    <x:row r="25">
      <x:c r="A25" t="str">
        <x:v>Accelerated</x:v>
      </x:c>
      <x:c r="B25" t="str">
        <x:v>Revenue</x:v>
      </x:c>
      <x:c r="C25" s="14" t="n">
        <x:f>0</x:f>
        <x:v>0</x:v>
      </x:c>
      <x:c r="D25" s="14" t="n">
        <x:f>0</x:f>
        <x:v>0</x:v>
      </x:c>
      <x:c r="E25" s="14" t="n">
        <x:f>0</x:f>
        <x:v>0</x:v>
      </x:c>
      <x:c r="F25" s="14" t="n">
        <x:f>0</x:f>
        <x:v>0</x:v>
      </x:c>
      <x:c r="G25" s="14" t="n">
        <x:f>0</x:f>
        <x:v>0</x:v>
      </x:c>
      <x:c r="H25" s="14" t="n">
        <x:f>0</x:f>
        <x:v>0</x:v>
      </x:c>
      <x:c r="I25" s="14" t="n">
        <x:f>0</x:f>
        <x:v>0</x:v>
      </x:c>
      <x:c r="J25" s="14" t="n">
        <x:f>0</x:f>
        <x:v>0</x:v>
      </x:c>
      <x:c r="K25" s="14" t="n">
        <x:f>0</x:f>
        <x:v>0</x:v>
      </x:c>
      <x:c r="L25" s="14" t="n">
        <x:f>0</x:f>
        <x:v>0</x:v>
      </x:c>
      <x:c r="M25" s="14" t="n">
        <x:f>0</x:f>
        <x:v>0</x:v>
      </x:c>
      <x:c r="N25" s="14" t="n">
        <x:f>0</x:f>
        <x:v>0</x:v>
      </x:c>
      <x:c r="O25" s="14" t="n">
        <x:f>0</x:f>
        <x:v>0</x:v>
      </x:c>
      <x:c r="P25" s="14" t="n">
        <x:f>0</x:f>
        <x:v>0</x:v>
      </x:c>
      <x:c r="Q25" s="14" t="n">
        <x:f>0</x:f>
        <x:v>0</x:v>
      </x:c>
      <x:c r="R25" s="14" t="n">
        <x:f>0</x:f>
        <x:v>0</x:v>
      </x:c>
    </x:row>
    <x:row r="26">
      <x:c r="A26" t="str">
        <x:v>Accelerated</x:v>
      </x:c>
      <x:c r="B26" t="str">
        <x:v>EBITDA / cash proxy</x:v>
      </x:c>
      <x:c r="C26" s="14" t="n">
        <x:f>C25-C22</x:f>
        <x:v>-40000</x:v>
      </x:c>
      <x:c r="D26" s="14" t="n">
        <x:f>D25-D22</x:f>
        <x:v>-102000</x:v>
      </x:c>
      <x:c r="E26" s="14" t="n">
        <x:f>E25-E22</x:f>
        <x:v>-69500</x:v>
      </x:c>
      <x:c r="F26" s="14" t="n">
        <x:f>F25-F22</x:f>
        <x:v>-69500</x:v>
      </x:c>
      <x:c r="G26" s="14" t="n">
        <x:f>G25-G22</x:f>
        <x:v>-76500</x:v>
      </x:c>
      <x:c r="H26" s="14" t="n">
        <x:f>H25-H22</x:f>
        <x:v>-88500</x:v>
      </x:c>
      <x:c r="I26" s="14" t="n">
        <x:f>I25-I22</x:f>
        <x:v>-88500</x:v>
      </x:c>
      <x:c r="J26" s="14" t="n">
        <x:f>J25-J22</x:f>
        <x:v>-88500</x:v>
      </x:c>
      <x:c r="K26" s="14" t="n">
        <x:f>K25-K22</x:f>
        <x:v>-88500</x:v>
      </x:c>
      <x:c r="L26" s="14" t="n">
        <x:f>L25-L22</x:f>
        <x:v>-88500</x:v>
      </x:c>
      <x:c r="M26" s="14" t="n">
        <x:f>M25-M22</x:f>
        <x:v>-81500</x:v>
      </x:c>
      <x:c r="N26" s="14" t="n">
        <x:f>N25-N22</x:f>
        <x:v>-81500</x:v>
      </x:c>
      <x:c r="O26" s="14" t="n">
        <x:f>O25-O22</x:f>
        <x:v>-81500</x:v>
      </x:c>
      <x:c r="P26" s="14" t="n">
        <x:f>P25-P22</x:f>
        <x:v>-63500</x:v>
      </x:c>
      <x:c r="Q26" s="14" t="n">
        <x:f>Q25-Q22</x:f>
        <x:v>-63500</x:v>
      </x:c>
      <x:c r="R26" s="14" t="n">
        <x:f>R25-R22</x:f>
        <x:v>-63500</x:v>
      </x:c>
    </x:row>
    <x:row r="27">
      <x:c r="A27" t="str">
        <x:v>Accelerated</x:v>
      </x:c>
      <x:c r="B27" s="63" t="str">
        <x:v>Cumulative cash need</x:v>
      </x:c>
      <x:c r="C27" s="64" t="n">
        <x:f>C24</x:f>
        <x:v>40000</x:v>
      </x:c>
      <x:c r="D27" s="64" t="n">
        <x:f>C27+D24</x:f>
        <x:v>187000</x:v>
      </x:c>
      <x:c r="E27" s="64" t="n">
        <x:f>D27+E24</x:f>
        <x:v>345957</x:v>
      </x:c>
      <x:c r="F27" s="64" t="n">
        <x:f>E27+F24</x:f>
        <x:v>485457</x:v>
      </x:c>
      <x:c r="G27" s="64" t="n">
        <x:f>F27+G24</x:f>
        <x:v>561957</x:v>
      </x:c>
      <x:c r="H27" s="64" t="n">
        <x:f>G27+H24</x:f>
        <x:v>650457</x:v>
      </x:c>
      <x:c r="I27" s="64" t="n">
        <x:f>H27+I24</x:f>
        <x:v>738957</x:v>
      </x:c>
      <x:c r="J27" s="64" t="n">
        <x:f>I27+J24</x:f>
        <x:v>827457</x:v>
      </x:c>
      <x:c r="K27" s="64" t="n">
        <x:f>J27+K24</x:f>
        <x:v>915957</x:v>
      </x:c>
      <x:c r="L27" s="64" t="n">
        <x:f>K27+L24</x:f>
        <x:v>1004457</x:v>
      </x:c>
      <x:c r="M27" s="64" t="n">
        <x:f>L27+M24</x:f>
        <x:v>1085957</x:v>
      </x:c>
      <x:c r="N27" s="64" t="n">
        <x:f>M27+N24</x:f>
        <x:v>1167457</x:v>
      </x:c>
      <x:c r="O27" s="64" t="n">
        <x:f>N27+O24</x:f>
        <x:v>1248957</x:v>
      </x:c>
      <x:c r="P27" s="64" t="n">
        <x:f>O27+P24</x:f>
        <x:v>1312457</x:v>
      </x:c>
      <x:c r="Q27" s="64" t="n">
        <x:f>P27+Q24</x:f>
        <x:v>1375957</x:v>
      </x:c>
      <x:c r="R27" s="64" t="n">
        <x:f>Q27+R24</x:f>
        <x:v>1439457</x:v>
      </x:c>
    </x:row>
  </x:sheetData>
  <x:mergeCells>
    <x:mergeCell ref="A1:R2"/>
    <x:mergeCell ref="A5:R5"/>
    <x:mergeCell ref="A13:R13"/>
    <x:mergeCell ref="A21:R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34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2" customHeight="1">
      <x:c r="A1" s="3" t="str">
        <x:v>Scenario Summary &amp; Runway</x:v>
      </x:c>
      <x:c r="B1" s="3" t="str">
        <x:v>Scenario Summary &amp; Runway</x:v>
      </x:c>
      <x:c r="C1" s="3" t="str">
        <x:v>Scenario Summary &amp; Runway</x:v>
      </x:c>
      <x:c r="D1" s="3" t="str">
        <x:v>Scenario Summary &amp; Runway</x:v>
      </x:c>
      <x:c r="E1" s="3" t="str">
        <x:v>Scenario Summary &amp; Runway</x:v>
      </x:c>
      <x:c r="F1" s="3" t="str">
        <x:v>Scenario Summary &amp; Runway</x:v>
      </x:c>
      <x:c r="G1" s="3" t="str">
        <x:v>Scenario Summary &amp; Runway</x:v>
      </x:c>
      <x:c r="H1" s="3" t="str">
        <x:v>Scenario Summary &amp; Runway</x:v>
      </x:c>
    </x:row>
    <x:row r="2" ht="32" customHeight="1">
      <x:c r="A2" s="3" t="str">
        <x:v>Scenario Summary &amp; Runway</x:v>
      </x:c>
      <x:c r="B2" s="3" t="str">
        <x:v>Scenario Summary &amp; Runway</x:v>
      </x:c>
      <x:c r="C2" s="3" t="str">
        <x:v>Scenario Summary &amp; Runway</x:v>
      </x:c>
      <x:c r="D2" s="3" t="str">
        <x:v>Scenario Summary &amp; Runway</x:v>
      </x:c>
      <x:c r="E2" s="3" t="str">
        <x:v>Scenario Summary &amp; Runway</x:v>
      </x:c>
      <x:c r="F2" s="3" t="str">
        <x:v>Scenario Summary &amp; Runway</x:v>
      </x:c>
      <x:c r="G2" s="3" t="str">
        <x:v>Scenario Summary &amp; Runway</x:v>
      </x:c>
      <x:c r="H2" s="3" t="str">
        <x:v>Scenario Summary &amp; Runway</x:v>
      </x:c>
    </x:row>
    <x:row r="4">
      <x:c r="A4" s="13" t="str">
        <x:v>Scenario</x:v>
      </x:c>
      <x:c r="B4" s="13" t="str">
        <x:v>M0-M12 spend</x:v>
      </x:c>
      <x:c r="C4" s="13" t="str">
        <x:v>Contingency</x:v>
      </x:c>
      <x:c r="D4" s="13" t="str">
        <x:v>Core capital</x:v>
      </x:c>
      <x:c r="E4" s="13" t="str">
        <x:v>M0-M15 spend</x:v>
      </x:c>
      <x:c r="F4" s="13" t="str">
        <x:v>Capital incl. buffer</x:v>
      </x:c>
      <x:c r="G4" s="13" t="str">
        <x:v>Avg burn M1-M15</x:v>
      </x:c>
      <x:c r="H4" s="13" t="str">
        <x:v>Peak burn</x:v>
      </x:c>
    </x:row>
    <x:row r="5">
      <x:c r="A5" t="str">
        <x:v>Lean</x:v>
      </x:c>
      <x:c r="B5" s="14" t="n">
        <x:f>SUM('Monthly Model'!C8:O8)</x:f>
        <x:v>378012</x:v>
      </x:c>
      <x:c r="C5" s="14" t="n">
        <x:f>B5*'Assumptions'!B29</x:f>
        <x:v>18900.600000000002</x:v>
      </x:c>
      <x:c r="D5" s="14" t="n">
        <x:f>B5+C5</x:f>
        <x:v>396912.6</x:v>
      </x:c>
      <x:c r="E5" s="14" t="n">
        <x:f>SUM('Monthly Model'!C8:R8)</x:f>
        <x:v>441912</x:v>
      </x:c>
      <x:c r="F5" s="14" t="n">
        <x:f>E5*(1+'Assumptions'!B29)</x:f>
        <x:v>464007.60000000003</x:v>
      </x:c>
      <x:c r="G5" s="14" t="n">
        <x:f>AVERAGE('Monthly Model'!D8:R8)</x:f>
        <x:v>28794.133333333335</x:v>
      </x:c>
      <x:c r="H5" s="14" t="n">
        <x:f>MAX('Monthly Model'!C8:R8)</x:f>
        <x:v>51300</x:v>
      </x:c>
    </x:row>
    <x:row r="6">
      <x:c r="A6" t="str">
        <x:v>Base</x:v>
      </x:c>
      <x:c r="B6" s="14" t="n">
        <x:f>SUM('Monthly Model'!C16:O16)</x:f>
        <x:v>696835</x:v>
      </x:c>
      <x:c r="C6" s="14" t="n">
        <x:f>B6*'Assumptions'!B30</x:f>
        <x:v>69683.5</x:v>
      </x:c>
      <x:c r="D6" s="14" t="n">
        <x:f>B6+C6</x:f>
        <x:v>766518.5</x:v>
      </x:c>
      <x:c r="E6" s="14" t="n">
        <x:f>SUM('Monthly Model'!C16:R16)</x:f>
        <x:v>806935</x:v>
      </x:c>
      <x:c r="F6" s="14" t="n">
        <x:f>E6*(1+'Assumptions'!B30)</x:f>
        <x:v>887628.5000000001</x:v>
      </x:c>
      <x:c r="G6" s="14" t="n">
        <x:f>AVERAGE('Monthly Model'!D16:R16)</x:f>
        <x:v>52462.333333333336</x:v>
      </x:c>
      <x:c r="H6" s="14" t="n">
        <x:f>MAX('Monthly Model'!C16:R16)</x:f>
        <x:v>88200</x:v>
      </x:c>
    </x:row>
    <x:row r="7">
      <x:c r="A7" t="str">
        <x:v>Accelerated</x:v>
      </x:c>
      <x:c r="B7" s="14" t="n">
        <x:f>SUM('Monthly Model'!C24:O24)</x:f>
        <x:v>1248957</x:v>
      </x:c>
      <x:c r="C7" s="14" t="n">
        <x:f>B7*'Assumptions'!B31</x:f>
        <x:v>187343.55</x:v>
      </x:c>
      <x:c r="D7" s="14" t="n">
        <x:f>B7+C7</x:f>
        <x:v>1436300.55</x:v>
      </x:c>
      <x:c r="E7" s="14" t="n">
        <x:f>SUM('Monthly Model'!C24:R24)</x:f>
        <x:v>1439457</x:v>
      </x:c>
      <x:c r="F7" s="14" t="n">
        <x:f>E7*(1+'Assumptions'!B31)</x:f>
        <x:v>1655375.5499999998</x:v>
      </x:c>
      <x:c r="G7" s="14" t="n">
        <x:f>AVERAGE('Monthly Model'!D24:R24)</x:f>
        <x:v>93297.13333333333</x:v>
      </x:c>
      <x:c r="H7" s="14" t="n">
        <x:f>MAX('Monthly Model'!C24:R24)</x:f>
        <x:v>158957</x:v>
      </x:c>
    </x:row>
    <x:row r="10">
      <x:c r="A10" s="8" t="str">
        <x:v>RUNWAY SENSITIVITY — MONTHS AT AVERAGE BURN</x:v>
      </x:c>
      <x:c r="B10" s="8" t="str">
        <x:v>RUNWAY SENSITIVITY — MONTHS AT AVERAGE BURN</x:v>
      </x:c>
      <x:c r="C10" s="8" t="str">
        <x:v>RUNWAY SENSITIVITY — MONTHS AT AVERAGE BURN</x:v>
      </x:c>
      <x:c r="D10" s="8" t="str">
        <x:v>RUNWAY SENSITIVITY — MONTHS AT AVERAGE BURN</x:v>
      </x:c>
      <x:c r="E10" s="8" t="str">
        <x:v>RUNWAY SENSITIVITY — MONTHS AT AVERAGE BURN</x:v>
      </x:c>
      <x:c r="F10" s="8" t="str">
        <x:v>RUNWAY SENSITIVITY — MONTHS AT AVERAGE BURN</x:v>
      </x:c>
      <x:c r="G10" s="8" t="str">
        <x:v>RUNWAY SENSITIVITY — MONTHS AT AVERAGE BURN</x:v>
      </x:c>
      <x:c r="H10" s="8" t="str">
        <x:v>RUNWAY SENSITIVITY — MONTHS AT AVERAGE BURN</x:v>
      </x:c>
    </x:row>
    <x:row r="11">
      <x:c r="A11" s="13" t="str">
        <x:v>Scenario</x:v>
      </x:c>
      <x:c r="B11" s="65" t="n">
        <x:v>300000</x:v>
      </x:c>
      <x:c r="C11" s="65" t="n">
        <x:v>500000</x:v>
      </x:c>
      <x:c r="D11" s="65" t="n">
        <x:v>750000</x:v>
      </x:c>
      <x:c r="E11" s="65" t="n">
        <x:v>1000000</x:v>
      </x:c>
      <x:c r="F11" s="65" t="n">
        <x:v>1500000</x:v>
      </x:c>
    </x:row>
    <x:row r="12">
      <x:c r="A12" t="str">
        <x:v>Lean</x:v>
      </x:c>
      <x:c r="B12" s="66" t="n">
        <x:f>B$11/$G5</x:f>
        <x:v>10.418789012576635</x:v>
      </x:c>
      <x:c r="C12" s="66" t="n">
        <x:f>C$11/$G5</x:f>
        <x:v>17.364648354294392</x:v>
      </x:c>
      <x:c r="D12" s="66" t="n">
        <x:f>D$11/$G5</x:f>
        <x:v>26.04697253144159</x:v>
      </x:c>
      <x:c r="E12" s="66" t="n">
        <x:f>E$11/$G5</x:f>
        <x:v>34.729296708588784</x:v>
      </x:c>
      <x:c r="F12" s="66" t="n">
        <x:f>F$11/$G5</x:f>
        <x:v>52.09394506288318</x:v>
      </x:c>
    </x:row>
    <x:row r="13">
      <x:c r="A13" t="str">
        <x:v>Base</x:v>
      </x:c>
      <x:c r="B13" s="66" t="n">
        <x:f>B$11/$G6</x:f>
        <x:v>5.718388431064827</x:v>
      </x:c>
      <x:c r="C13" s="66" t="n">
        <x:f>C$11/$G6</x:f>
        <x:v>9.530647385108045</x:v>
      </x:c>
      <x:c r="D13" s="66" t="n">
        <x:f>D$11/$G6</x:f>
        <x:v>14.295971077662069</x:v>
      </x:c>
      <x:c r="E13" s="66" t="n">
        <x:f>E$11/$G6</x:f>
        <x:v>19.06129477021609</x:v>
      </x:c>
      <x:c r="F13" s="66" t="n">
        <x:f>F$11/$G6</x:f>
        <x:v>28.591942155324137</x:v>
      </x:c>
    </x:row>
    <x:row r="14">
      <x:c r="A14" t="str">
        <x:v>Accelerated</x:v>
      </x:c>
      <x:c r="B14" s="66" t="n">
        <x:f>B$11/$G7</x:f>
        <x:v>3.2155328816819666</x:v>
      </x:c>
      <x:c r="C14" s="66" t="n">
        <x:f>C$11/$G7</x:f>
        <x:v>5.3592214694699445</x:v>
      </x:c>
      <x:c r="D14" s="66" t="n">
        <x:f>D$11/$G7</x:f>
        <x:v>8.038832204204917</x:v>
      </x:c>
      <x:c r="E14" s="66" t="n">
        <x:f>E$11/$G7</x:f>
        <x:v>10.718442938939889</x:v>
      </x:c>
      <x:c r="F14" s="66" t="n">
        <x:f>F$11/$G7</x:f>
        <x:v>16.077664408409834</x:v>
      </x:c>
    </x:row>
    <x:row r="17">
      <x:c r="A17" s="8" t="str">
        <x:v>PROVISIONAL GUIDANCE — DECISION REQUIRED</x:v>
      </x:c>
      <x:c r="B17" s="8" t="str">
        <x:v>PROVISIONAL GUIDANCE — DECISION REQUIRED</x:v>
      </x:c>
      <x:c r="C17" s="8" t="str">
        <x:v>PROVISIONAL GUIDANCE — DECISION REQUIRED</x:v>
      </x:c>
      <x:c r="D17" s="8" t="str">
        <x:v>PROVISIONAL GUIDANCE — DECISION REQUIRED</x:v>
      </x:c>
      <x:c r="E17" s="8" t="str">
        <x:v>PROVISIONAL GUIDANCE — DECISION REQUIRED</x:v>
      </x:c>
      <x:c r="F17" s="8" t="str">
        <x:v>PROVISIONAL GUIDANCE — DECISION REQUIRED</x:v>
      </x:c>
      <x:c r="G17" s="8" t="str">
        <x:v>PROVISIONAL GUIDANCE — DECISION REQUIRED</x:v>
      </x:c>
      <x:c r="H17" s="8" t="str">
        <x:v>PROVISIONAL GUIDANCE — DECISION REQUIRED</x:v>
      </x:c>
    </x:row>
    <x:row r="18">
      <x:c r="A18" s="13" t="str">
        <x:v>Envelope</x:v>
      </x:c>
      <x:c r="B18" s="13" t="str">
        <x:v>Amount</x:v>
      </x:c>
      <x:c r="C18" s="13" t="str">
        <x:v>Basis</x:v>
      </x:c>
      <x:c r="D18" s="13" t="str">
        <x:v>Status</x:v>
      </x:c>
    </x:row>
    <x:row r="19">
      <x:c r="A19" t="str">
        <x:v>Minimum viable</x:v>
      </x:c>
      <x:c r="B19" s="14" t="n">
        <x:v>400000</x:v>
      </x:c>
      <x:c r="C19" t="str">
        <x:v>Lean M0-M12 plus 5% contingency</x:v>
      </x:c>
      <x:c r="D19" t="str">
        <x:v>DECISION_REQUIRED</x:v>
      </x:c>
    </x:row>
    <x:row r="20">
      <x:c r="A20" t="str">
        <x:v>Recommended</x:v>
      </x:c>
      <x:c r="B20" s="14" t="n">
        <x:v>890000</x:v>
      </x:c>
      <x:c r="C20" t="str">
        <x:v>Base M0-M15 plus 10% contingency</x:v>
      </x:c>
      <x:c r="D20" t="str">
        <x:v>DECISION_REQUIRED</x:v>
      </x:c>
    </x:row>
    <x:row r="21">
      <x:c r="A21" t="str">
        <x:v>Comfortable</x:v>
      </x:c>
      <x:c r="B21" s="14" t="n">
        <x:v>1660000</x:v>
      </x:c>
      <x:c r="C21" t="str">
        <x:v>Accelerated M0-M15 plus 15% contingency</x:v>
      </x:c>
      <x:c r="D21" t="str">
        <x:v>DECISION_REQUIRED</x:v>
      </x:c>
    </x:row>
  </x:sheetData>
  <x:mergeCells>
    <x:mergeCell ref="A1:H2"/>
    <x:mergeCell ref="A10:H10"/>
    <x:mergeCell ref="A17:H1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45" hidden="0" customWidth="1"/>
  </x:cols>
  <x:sheetData>
    <x:row r="1" ht="32" customHeight="1">
      <x:c r="A1" s="3" t="str">
        <x:v>Use of Funds — M0 to M15</x:v>
      </x:c>
      <x:c r="B1" s="3" t="str">
        <x:v>Use of Funds — M0 to M15</x:v>
      </x:c>
      <x:c r="C1" s="3" t="str">
        <x:v>Use of Funds — M0 to M15</x:v>
      </x:c>
      <x:c r="D1" s="3" t="str">
        <x:v>Use of Funds — M0 to M15</x:v>
      </x:c>
      <x:c r="E1" s="3" t="str">
        <x:v>Use of Funds — M0 to M15</x:v>
      </x:c>
    </x:row>
    <x:row r="2" ht="32" customHeight="1">
      <x:c r="A2" s="3" t="str">
        <x:v>Use of Funds — M0 to M15</x:v>
      </x:c>
      <x:c r="B2" s="3" t="str">
        <x:v>Use of Funds — M0 to M15</x:v>
      </x:c>
      <x:c r="C2" s="3" t="str">
        <x:v>Use of Funds — M0 to M15</x:v>
      </x:c>
      <x:c r="D2" s="3" t="str">
        <x:v>Use of Funds — M0 to M15</x:v>
      </x:c>
      <x:c r="E2" s="3" t="str">
        <x:v>Use of Funds — M0 to M15</x:v>
      </x:c>
    </x:row>
    <x:row r="4">
      <x:c r="A4" s="13" t="str">
        <x:v>Category</x:v>
      </x:c>
      <x:c r="B4" s="13" t="str">
        <x:v>Lean</x:v>
      </x:c>
      <x:c r="C4" s="13" t="str">
        <x:v>Base</x:v>
      </x:c>
      <x:c r="D4" s="13" t="str">
        <x:v>Accelerated</x:v>
      </x:c>
      <x:c r="E4" s="13" t="str">
        <x:v>Asset / milestone created</x:v>
      </x:c>
    </x:row>
    <x:row r="5">
      <x:c r="A5" t="str">
        <x:v>Team</x:v>
      </x:c>
      <x:c r="B5" s="14" t="n">
        <x:v>270000</x:v>
      </x:c>
      <x:c r="C5" s="14" t="n">
        <x:v>450000</x:v>
      </x:c>
      <x:c r="D5" s="14" t="n">
        <x:v>750000</x:v>
      </x:c>
      <x:c r="E5" t="str">
        <x:v>Execution capacity and accountable owners</x:v>
      </x:c>
    </x:row>
    <x:row r="6">
      <x:c r="A6" t="str">
        <x:v>Software &amp; cloud</x:v>
      </x:c>
      <x:c r="B6" s="14" t="n">
        <x:v>27000</x:v>
      </x:c>
      <x:c r="C6" s="14" t="n">
        <x:v>48000</x:v>
      </x:c>
      <x:c r="D6" s="14" t="n">
        <x:v>90000</x:v>
      </x:c>
      <x:c r="E6" t="str">
        <x:v>Operational software environment</x:v>
      </x:c>
    </x:row>
    <x:row r="7">
      <x:c r="A7" t="str">
        <x:v>AI &amp; data</x:v>
      </x:c>
      <x:c r="B7" s="14" t="n">
        <x:v>21000</x:v>
      </x:c>
      <x:c r="C7" s="14" t="n">
        <x:v>49000</x:v>
      </x:c>
      <x:c r="D7" s="14" t="n">
        <x:v>105000</x:v>
      </x:c>
      <x:c r="E7" t="str">
        <x:v>Versioned data and model experimentation</x:v>
      </x:c>
    </x:row>
    <x:row r="8">
      <x:c r="A8" t="str">
        <x:v>Sentinel</x:v>
      </x:c>
      <x:c r="B8" s="14" t="n">
        <x:v>9912</x:v>
      </x:c>
      <x:c r="C8" s="14" t="n">
        <x:v>23935</x:v>
      </x:c>
      <x:c r="D8" s="14" t="n">
        <x:v>44457</x:v>
      </x:c>
      <x:c r="E8" t="str">
        <x:v>Instrumented fixed-node iteration</x:v>
      </x:c>
    </x:row>
    <x:row r="9">
      <x:c r="A9" t="str">
        <x:v>Rover platform</x:v>
      </x:c>
      <x:c r="B9" s="14" t="n">
        <x:v>18000</x:v>
      </x:c>
      <x:c r="C9" s="14" t="n">
        <x:v>30000</x:v>
      </x:c>
      <x:c r="D9" s="14" t="n">
        <x:v>45000</x:v>
      </x:c>
      <x:c r="E9" t="str">
        <x:v>Commercial mobility base</x:v>
      </x:c>
    </x:row>
    <x:row r="10">
      <x:c r="A10" t="str">
        <x:v>Rover integration</x:v>
      </x:c>
      <x:c r="B10" s="14" t="n">
        <x:v>18000</x:v>
      </x:c>
      <x:c r="C10" s="14" t="n">
        <x:v>40000</x:v>
      </x:c>
      <x:c r="D10" s="14" t="n">
        <x:v>80000</x:v>
      </x:c>
      <x:c r="E10" t="str">
        <x:v>Integrated field rover prototype</x:v>
      </x:c>
    </x:row>
    <x:row r="11">
      <x:c r="A11" t="str">
        <x:v>Drone</x:v>
      </x:c>
      <x:c r="B11" s="14" t="n">
        <x:v>5000</x:v>
      </x:c>
      <x:c r="C11" s="14" t="n">
        <x:v>15000</x:v>
      </x:c>
      <x:c r="D11" s="14" t="n">
        <x:v>35000</x:v>
      </x:c>
      <x:c r="E11" t="str">
        <x:v>Selected aerial layer and integration path</x:v>
      </x:c>
    </x:row>
    <x:row r="12">
      <x:c r="A12" t="str">
        <x:v>Field validation</x:v>
      </x:c>
      <x:c r="B12" s="14" t="n">
        <x:v>24000</x:v>
      </x:c>
      <x:c r="C12" s="14" t="n">
        <x:v>52000</x:v>
      </x:c>
      <x:c r="D12" s="14" t="n">
        <x:v>96000</x:v>
      </x:c>
      <x:c r="E12" t="str">
        <x:v>Reproducible field evidence</x:v>
      </x:c>
    </x:row>
    <x:row r="13">
      <x:c r="A13" t="str">
        <x:v>China sourcing</x:v>
      </x:c>
      <x:c r="B13" s="14" t="n">
        <x:v>12000</x:v>
      </x:c>
      <x:c r="C13" s="14" t="n">
        <x:v>22000</x:v>
      </x:c>
      <x:c r="D13" s="14" t="n">
        <x:v>40000</x:v>
      </x:c>
      <x:c r="E13" t="str">
        <x:v>Supplier shortlist, quotes and acceptance plan</x:v>
      </x:c>
    </x:row>
    <x:row r="14">
      <x:c r="A14" t="str">
        <x:v>IP / legal</x:v>
      </x:c>
      <x:c r="B14" s="14" t="n">
        <x:v>10000</x:v>
      </x:c>
      <x:c r="C14" s="14" t="n">
        <x:v>20000</x:v>
      </x:c>
      <x:c r="D14" s="14" t="n">
        <x:v>40000</x:v>
      </x:c>
      <x:c r="E14" t="str">
        <x:v>Corporate and IP diligence baseline</x:v>
      </x:c>
    </x:row>
    <x:row r="15">
      <x:c r="A15" t="str">
        <x:v>Regulatory</x:v>
      </x:c>
      <x:c r="B15" s="14" t="n">
        <x:v>9000</x:v>
      </x:c>
      <x:c r="C15" s="14" t="n">
        <x:v>21000</x:v>
      </x:c>
      <x:c r="D15" s="14" t="n">
        <x:v>42000</x:v>
      </x:c>
      <x:c r="E15" t="str">
        <x:v>Documented operating constraints</x:v>
      </x:c>
    </x:row>
    <x:row r="16">
      <x:c r="A16" t="str">
        <x:v>Investor &amp; commercial validation</x:v>
      </x:c>
      <x:c r="B16" s="14" t="n">
        <x:v>18000</x:v>
      </x:c>
      <x:c r="C16" s="14" t="n">
        <x:v>36000</x:v>
      </x:c>
      <x:c r="D16" s="14" t="n">
        <x:v>72000</x:v>
      </x:c>
      <x:c r="E16" t="str">
        <x:v>Validated commercial inputs</x:v>
      </x:c>
    </x:row>
    <x:row r="17">
      <x:c r="A17" s="60" t="str">
        <x:v>Total before contingency</x:v>
      </x:c>
      <x:c r="B17" s="61" t="n">
        <x:f>SUM(B5:B16)</x:f>
        <x:v>441912</x:v>
      </x:c>
      <x:c r="C17" s="61" t="n">
        <x:f>SUM(C5:C16)</x:f>
        <x:v>806935</x:v>
      </x:c>
      <x:c r="D17" s="61" t="n">
        <x:f>SUM(D5:D16)</x:f>
        <x:v>1439457</x:v>
      </x:c>
      <x:c r="E17" s="60" t="str">
        <x:v>Formula-driven total</x:v>
      </x:c>
    </x:row>
  </x:sheetData>
  <x:mergeCells>
    <x:mergeCell ref="A1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2" customHeight="1">
      <x:c r="A1" s="3" t="str">
        <x:v>Fundraising Scenarios &amp; Dilution Sensitivity</x:v>
      </x:c>
      <x:c r="B1" s="68" t="str">
        <x:v>Fundraising Scenarios &amp; Dilution Sensitivity</x:v>
      </x:c>
      <x:c r="C1" s="68" t="str">
        <x:v>Fundraising Scenarios &amp; Dilution Sensitivity</x:v>
      </x:c>
      <x:c r="D1" s="68" t="str">
        <x:v>Fundraising Scenarios &amp; Dilution Sensitivity</x:v>
      </x:c>
      <x:c r="E1" s="68" t="str">
        <x:v>Fundraising Scenarios &amp; Dilution Sensitivity</x:v>
      </x:c>
      <x:c r="F1" s="3" t="str">
        <x:v>Fundraising Scenarios &amp; Dilution Sensitivity</x:v>
      </x:c>
      <x:c r="G1" s="3" t="str">
        <x:v>Fundraising Scenarios &amp; Dilution Sensitivity</x:v>
      </x:c>
      <x:c r="H1" s="3" t="str">
        <x:v>Fundraising Scenarios &amp; Dilution Sensitivity</x:v>
      </x:c>
    </x:row>
    <x:row r="2" ht="32" customHeight="1">
      <x:c r="A2" s="3" t="str">
        <x:v>Fundraising Scenarios &amp; Dilution Sensitivity</x:v>
      </x:c>
      <x:c r="B2" s="3" t="str">
        <x:v>Fundraising Scenarios &amp; Dilution Sensitivity</x:v>
      </x:c>
      <x:c r="C2" s="3" t="str">
        <x:v>Fundraising Scenarios &amp; Dilution Sensitivity</x:v>
      </x:c>
      <x:c r="D2" s="3" t="str">
        <x:v>Fundraising Scenarios &amp; Dilution Sensitivity</x:v>
      </x:c>
      <x:c r="E2" s="3" t="str">
        <x:v>Fundraising Scenarios &amp; Dilution Sensitivity</x:v>
      </x:c>
      <x:c r="F2" s="3" t="str">
        <x:v>Fundraising Scenarios &amp; Dilution Sensitivity</x:v>
      </x:c>
      <x:c r="G2" s="3" t="str">
        <x:v>Fundraising Scenarios &amp; Dilution Sensitivity</x:v>
      </x:c>
      <x:c r="H2" s="3" t="str">
        <x:v>Fundraising Scenarios &amp; Dilution Sensitivity</x:v>
      </x:c>
    </x:row>
    <x:row r="4">
      <x:c r="A4" s="13" t="str">
        <x:v>Investment</x:v>
      </x:c>
      <x:c r="B4" s="13" t="str">
        <x:v>Pre-money €2.5m</x:v>
      </x:c>
      <x:c r="C4" s="13" t="str">
        <x:v>Pre-money €5.0m</x:v>
      </x:c>
      <x:c r="D4" s="13" t="str">
        <x:v>Pre-money €7.5m</x:v>
      </x:c>
      <x:c r="E4" s="13" t="str">
        <x:v>Pre-money €10.0m</x:v>
      </x:c>
      <x:c r="F4" s="13" t="str">
        <x:v>Pre-money €15.0m</x:v>
      </x:c>
    </x:row>
    <x:row r="5">
      <x:c r="A5" s="14" t="n">
        <x:v>300000</x:v>
      </x:c>
      <x:c r="B5" s="67" t="n">
        <x:f>$A5/($A5+2500000)</x:f>
        <x:v>0.10714285714285714</x:v>
      </x:c>
      <x:c r="C5" s="67" t="n">
        <x:f>$A5/($A5+5000000)</x:f>
        <x:v>0.05660377358490566</x:v>
      </x:c>
      <x:c r="D5" s="67" t="n">
        <x:f>$A5/($A5+7500000)</x:f>
        <x:v>0.038461538461538464</x:v>
      </x:c>
      <x:c r="E5" s="67" t="n">
        <x:f>$A5/($A5+10000000)</x:f>
        <x:v>0.02912621359223301</x:v>
      </x:c>
      <x:c r="F5" s="67" t="n">
        <x:f>$A5/($A5+15000000)</x:f>
        <x:v>0.0196078431372549</x:v>
      </x:c>
    </x:row>
    <x:row r="6">
      <x:c r="A6" s="14" t="n">
        <x:v>500000</x:v>
      </x:c>
      <x:c r="B6" s="67" t="n">
        <x:f>$A6/($A6+2500000)</x:f>
        <x:v>0.16666666666666666</x:v>
      </x:c>
      <x:c r="C6" s="67" t="n">
        <x:f>$A6/($A6+5000000)</x:f>
        <x:v>0.09090909090909091</x:v>
      </x:c>
      <x:c r="D6" s="67" t="n">
        <x:f>$A6/($A6+7500000)</x:f>
        <x:v>0.0625</x:v>
      </x:c>
      <x:c r="E6" s="67" t="n">
        <x:f>$A6/($A6+10000000)</x:f>
        <x:v>0.047619047619047616</x:v>
      </x:c>
      <x:c r="F6" s="67" t="n">
        <x:f>$A6/($A6+15000000)</x:f>
        <x:v>0.03225806451612903</x:v>
      </x:c>
    </x:row>
    <x:row r="7">
      <x:c r="A7" s="14" t="n">
        <x:v>750000</x:v>
      </x:c>
      <x:c r="B7" s="67" t="n">
        <x:f>$A7/($A7+2500000)</x:f>
        <x:v>0.23076923076923078</x:v>
      </x:c>
      <x:c r="C7" s="67" t="n">
        <x:f>$A7/($A7+5000000)</x:f>
        <x:v>0.13043478260869565</x:v>
      </x:c>
      <x:c r="D7" s="67" t="n">
        <x:f>$A7/($A7+7500000)</x:f>
        <x:v>0.09090909090909091</x:v>
      </x:c>
      <x:c r="E7" s="67" t="n">
        <x:f>$A7/($A7+10000000)</x:f>
        <x:v>0.06976744186046512</x:v>
      </x:c>
      <x:c r="F7" s="67" t="n">
        <x:f>$A7/($A7+15000000)</x:f>
        <x:v>0.047619047619047616</x:v>
      </x:c>
    </x:row>
    <x:row r="8">
      <x:c r="A8" s="14" t="n">
        <x:v>1000000</x:v>
      </x:c>
      <x:c r="B8" s="67" t="n">
        <x:f>$A8/($A8+2500000)</x:f>
        <x:v>0.2857142857142857</x:v>
      </x:c>
      <x:c r="C8" s="67" t="n">
        <x:f>$A8/($A8+5000000)</x:f>
        <x:v>0.16666666666666666</x:v>
      </x:c>
      <x:c r="D8" s="67" t="n">
        <x:f>$A8/($A8+7500000)</x:f>
        <x:v>0.11764705882352941</x:v>
      </x:c>
      <x:c r="E8" s="67" t="n">
        <x:f>$A8/($A8+10000000)</x:f>
        <x:v>0.09090909090909091</x:v>
      </x:c>
      <x:c r="F8" s="67" t="n">
        <x:f>$A8/($A8+15000000)</x:f>
        <x:v>0.0625</x:v>
      </x:c>
    </x:row>
    <x:row r="9">
      <x:c r="A9" s="14" t="n">
        <x:v>1500000</x:v>
      </x:c>
      <x:c r="B9" s="67" t="n">
        <x:f>$A9/($A9+2500000)</x:f>
        <x:v>0.375</x:v>
      </x:c>
      <x:c r="C9" s="67" t="n">
        <x:f>$A9/($A9+5000000)</x:f>
        <x:v>0.23076923076923078</x:v>
      </x:c>
      <x:c r="D9" s="67" t="n">
        <x:f>$A9/($A9+7500000)</x:f>
        <x:v>0.16666666666666666</x:v>
      </x:c>
      <x:c r="E9" s="67" t="n">
        <x:f>$A9/($A9+10000000)</x:f>
        <x:v>0.13043478260869565</x:v>
      </x:c>
      <x:c r="F9" s="67" t="n">
        <x:f>$A9/($A9+15000000)</x:f>
        <x:v>0.09090909090909091</x:v>
      </x:c>
    </x:row>
    <x:row r="12">
      <x:c r="A12" s="8" t="str">
        <x:v>CAP TABLE MECHANICS — ILLUSTRATIVE ONLY</x:v>
      </x:c>
      <x:c r="B12" s="8" t="str">
        <x:v>CAP TABLE MECHANICS — ILLUSTRATIVE ONLY</x:v>
      </x:c>
      <x:c r="C12" s="8" t="str">
        <x:v>CAP TABLE MECHANICS — ILLUSTRATIVE ONLY</x:v>
      </x:c>
      <x:c r="D12" s="8" t="str">
        <x:v>CAP TABLE MECHANICS — ILLUSTRATIVE ONLY</x:v>
      </x:c>
      <x:c r="E12" s="8" t="str">
        <x:v>CAP TABLE MECHANICS — ILLUSTRATIVE ONLY</x:v>
      </x:c>
      <x:c r="F12" s="8" t="str">
        <x:v>CAP TABLE MECHANICS — ILLUSTRATIVE ONLY</x:v>
      </x:c>
      <x:c r="G12" s="8" t="str">
        <x:v>CAP TABLE MECHANICS — ILLUSTRATIVE ONLY</x:v>
      </x:c>
      <x:c r="H12" s="8" t="str">
        <x:v>CAP TABLE MECHANICS — ILLUSTRATIVE ONLY</x:v>
      </x:c>
    </x:row>
    <x:row r="13">
      <x:c r="A13" s="13" t="str">
        <x:v>Input / output</x:v>
      </x:c>
      <x:c r="B13" s="13" t="str">
        <x:v>Value</x:v>
      </x:c>
      <x:c r="C13" s="13" t="str">
        <x:v>Classification</x:v>
      </x:c>
      <x:c r="D13" s="13" t="str">
        <x:v>Formula / rule</x:v>
      </x:c>
      <x:c r="E13" s="13" t="str">
        <x:v>Approval</x:v>
      </x:c>
      <x:c r="F13" s="13" t="str">
        <x:v>Note</x:v>
      </x:c>
    </x:row>
    <x:row r="14">
      <x:c r="A14" t="str">
        <x:v>Illustrative investment</x:v>
      </x:c>
      <x:c r="B14" s="20" t="n">
        <x:v>500000</x:v>
      </x:c>
      <x:c r="C14" t="str">
        <x:v>SCENARIO</x:v>
      </x:c>
      <x:c r="D14" t="str">
        <x:v>Editable input</x:v>
      </x:c>
      <x:c r="E14" t="str">
        <x:v>NOT APPROVED</x:v>
      </x:c>
      <x:c r="F14" t="str">
        <x:v>No current ask implied</x:v>
      </x:c>
    </x:row>
    <x:row r="15">
      <x:c r="A15" t="str">
        <x:v>Illustrative pre-money</x:v>
      </x:c>
      <x:c r="B15" s="20" t="n">
        <x:v>5000000</x:v>
      </x:c>
      <x:c r="C15" t="str">
        <x:v>SCENARIO</x:v>
      </x:c>
      <x:c r="D15" t="str">
        <x:v>Editable input</x:v>
      </x:c>
      <x:c r="E15" t="str">
        <x:v>NOT APPROVED</x:v>
      </x:c>
      <x:c r="F15" t="str">
        <x:v>No current valuation implied</x:v>
      </x:c>
    </x:row>
    <x:row r="16">
      <x:c r="A16" t="str">
        <x:v>Illustrative investor ownership</x:v>
      </x:c>
      <x:c r="B16" s="67" t="n">
        <x:f>B14/(B14+B15)</x:f>
        <x:v>0.09090909090909091</x:v>
      </x:c>
      <x:c r="C16" t="str">
        <x:v>CALCULATED</x:v>
      </x:c>
      <x:c r="D16" t="str">
        <x:v>Investment / post-money</x:v>
      </x:c>
      <x:c r="E16" t="str">
        <x:v>NOT APPROVED</x:v>
      </x:c>
      <x:c r="F16" t="str">
        <x:v>No option pool or existing cap table included</x:v>
      </x:c>
    </x:row>
    <x:row r="19">
      <x:c r="A19" s="8" t="str">
        <x:v>FINANCING OPTIONS</x:v>
      </x:c>
      <x:c r="B19" s="8" t="str">
        <x:v>FINANCING OPTIONS</x:v>
      </x:c>
      <x:c r="C19" s="8" t="str">
        <x:v>FINANCING OPTIONS</x:v>
      </x:c>
      <x:c r="D19" s="8" t="str">
        <x:v>FINANCING OPTIONS</x:v>
      </x:c>
      <x:c r="E19" s="8" t="str">
        <x:v>FINANCING OPTIONS</x:v>
      </x:c>
      <x:c r="F19" s="8" t="str">
        <x:v>FINANCING OPTIONS</x:v>
      </x:c>
      <x:c r="G19" s="8" t="str">
        <x:v>FINANCING OPTIONS</x:v>
      </x:c>
      <x:c r="H19" s="8" t="str">
        <x:v>FINANCING OPTIONS</x:v>
      </x:c>
    </x:row>
    <x:row r="20">
      <x:c r="A20" s="13" t="str">
        <x:v>Option</x:v>
      </x:c>
      <x:c r="B20" s="13" t="str">
        <x:v>Best use</x:v>
      </x:c>
      <x:c r="C20" s="13" t="str">
        <x:v>Key advantage</x:v>
      </x:c>
      <x:c r="D20" s="13" t="str">
        <x:v>Key risk</x:v>
      </x:c>
      <x:c r="E20" s="13" t="str">
        <x:v>Status</x:v>
      </x:c>
    </x:row>
    <x:row r="21">
      <x:c r="A21" t="str">
        <x:v>Priced equity</x:v>
      </x:c>
      <x:c r="B21" t="str">
        <x:v>Clear valuation and ownership</x:v>
      </x:c>
      <x:c r="C21" t="str">
        <x:v>Straightforward cap table</x:v>
      </x:c>
      <x:c r="D21" t="str">
        <x:v>Premature price discovery</x:v>
      </x:c>
      <x:c r="E21" t="str">
        <x:v>TO_DECIDE</x:v>
      </x:c>
    </x:row>
    <x:row r="22">
      <x:c r="A22" t="str">
        <x:v>Convertible instrument</x:v>
      </x:c>
      <x:c r="B22" t="str">
        <x:v>Bridge to evidence milestone</x:v>
      </x:c>
      <x:c r="C22" t="str">
        <x:v>Defers pricing</x:v>
      </x:c>
      <x:c r="D22" t="str">
        <x:v>Cap/discount complexity</x:v>
      </x:c>
      <x:c r="E22" t="str">
        <x:v>TO_DECIDE</x:v>
      </x:c>
    </x:row>
    <x:row r="23">
      <x:c r="A23" t="str">
        <x:v>Strategic / corporate capital</x:v>
      </x:c>
      <x:c r="B23" t="str">
        <x:v>Commercial and technical leverage</x:v>
      </x:c>
      <x:c r="C23" t="str">
        <x:v>Potential validation access</x:v>
      </x:c>
      <x:c r="D23" t="str">
        <x:v>Exclusivity / control constraints</x:v>
      </x:c>
      <x:c r="E23" t="str">
        <x:v>TO_VALIDATE</x:v>
      </x:c>
    </x:row>
    <x:row r="24">
      <x:c r="A24" t="str">
        <x:v>Grants / non-dilutive</x:v>
      </x:c>
      <x:c r="B24" t="str">
        <x:v>R&amp;D and validation</x:v>
      </x:c>
      <x:c r="C24" t="str">
        <x:v>Preserves equity</x:v>
      </x:c>
      <x:c r="D24" t="str">
        <x:v>Timing and restricted uses</x:v>
      </x:c>
      <x:c r="E24" t="str">
        <x:v>TO_VALIDATE</x:v>
      </x:c>
    </x:row>
  </x:sheetData>
  <x:mergeCells>
    <x:mergeCell ref="A1:H2"/>
    <x:mergeCell ref="A12:H12"/>
    <x:mergeCell ref="A19:H1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48" hidden="0" customWidth="1"/>
    <x:col min="4" max="4" width="28" hidden="0" customWidth="1"/>
  </x:cols>
  <x:sheetData>
    <x:row r="1" ht="32" customHeight="1">
      <x:c r="A1" s="3" t="str">
        <x:v>€500k EBITDA Target — Reverse Engineering Gate</x:v>
      </x:c>
      <x:c r="B1" s="3" t="str">
        <x:v>€500k EBITDA Target — Reverse Engineering Gate</x:v>
      </x:c>
      <x:c r="C1" s="3" t="str">
        <x:v>€500k EBITDA Target — Reverse Engineering Gate</x:v>
      </x:c>
      <x:c r="D1" s="3" t="str">
        <x:v>€500k EBITDA Target — Reverse Engineering Gate</x:v>
      </x:c>
      <x:c r="E1" s="3" t="str">
        <x:v>€500k EBITDA Target — Reverse Engineering Gate</x:v>
      </x:c>
      <x:c r="F1" s="3" t="str">
        <x:v>€500k EBITDA Target — Reverse Engineering Gate</x:v>
      </x:c>
      <x:c r="G1" s="3" t="str">
        <x:v>€500k EBITDA Target — Reverse Engineering Gate</x:v>
      </x:c>
      <x:c r="H1" s="3" t="str">
        <x:v>€500k EBITDA Target — Reverse Engineering Gate</x:v>
      </x:c>
    </x:row>
    <x:row r="2" ht="32" customHeight="1">
      <x:c r="A2" s="3" t="str">
        <x:v>€500k EBITDA Target — Reverse Engineering Gate</x:v>
      </x:c>
      <x:c r="B2" s="3" t="str">
        <x:v>€500k EBITDA Target — Reverse Engineering Gate</x:v>
      </x:c>
      <x:c r="C2" s="3" t="str">
        <x:v>€500k EBITDA Target — Reverse Engineering Gate</x:v>
      </x:c>
      <x:c r="D2" s="3" t="str">
        <x:v>€500k EBITDA Target — Reverse Engineering Gate</x:v>
      </x:c>
      <x:c r="E2" s="3" t="str">
        <x:v>€500k EBITDA Target — Reverse Engineering Gate</x:v>
      </x:c>
      <x:c r="F2" s="3" t="str">
        <x:v>€500k EBITDA Target — Reverse Engineering Gate</x:v>
      </x:c>
      <x:c r="G2" s="3" t="str">
        <x:v>€500k EBITDA Target — Reverse Engineering Gate</x:v>
      </x:c>
      <x:c r="H2" s="3" t="str">
        <x:v>€500k EBITDA Target — Reverse Engineering Gate</x:v>
      </x:c>
    </x:row>
    <x:row r="4">
      <x:c r="A4" s="13" t="str">
        <x:v>Driver</x:v>
      </x:c>
      <x:c r="B4" s="13" t="str">
        <x:v>Value</x:v>
      </x:c>
      <x:c r="C4" s="13" t="str">
        <x:v>Status</x:v>
      </x:c>
      <x:c r="D4" s="13" t="str">
        <x:v>Meaning</x:v>
      </x:c>
    </x:row>
    <x:row r="5">
      <x:c r="A5" t="str">
        <x:v>12-month EBITDA target</x:v>
      </x:c>
      <x:c r="B5" s="14" t="n">
        <x:v>500000</x:v>
      </x:c>
      <x:c r="C5" t="str">
        <x:v>TARGET_TO_VALIDATE</x:v>
      </x:c>
      <x:c r="D5" t="str">
        <x:v>Target, not forecast</x:v>
      </x:c>
    </x:row>
    <x:row r="6">
      <x:c r="A6" t="str">
        <x:v>Base M0-M12 OPEX</x:v>
      </x:c>
      <x:c r="B6" s="14" t="n">
        <x:v>587900</x:v>
      </x:c>
      <x:c r="C6" t="str">
        <x:v>MODELLED_NOT_APPROVED</x:v>
      </x:c>
      <x:c r="D6" t="str">
        <x:v>Excludes CAPEX</x:v>
      </x:c>
    </x:row>
    <x:row r="7">
      <x:c r="A7" t="str">
        <x:v>Required gross profit</x:v>
      </x:c>
      <x:c r="B7" s="14" t="n">
        <x:f>B5+B6</x:f>
        <x:v>1087900</x:v>
      </x:c>
      <x:c r="C7" t="str">
        <x:v>CALCULATED</x:v>
      </x:c>
      <x:c r="D7" t="str">
        <x:v>EBITDA target + operating costs</x:v>
      </x:c>
    </x:row>
    <x:row r="8">
      <x:c r="A8" t="str">
        <x:v>Assumed blended gross margin</x:v>
      </x:c>
      <x:c r="B8" s="56" t="n">
        <x:v>0</x:v>
      </x:c>
      <x:c r="C8" t="str">
        <x:v>TO_VALIDATE</x:v>
      </x:c>
      <x:c r="D8" t="str">
        <x:v>Cannot be activated without pricing and COGS</x:v>
      </x:c>
    </x:row>
    <x:row r="9">
      <x:c r="A9" t="str">
        <x:v>Required revenue</x:v>
      </x:c>
      <x:c r="B9" s="14" t="n">
        <x:f>IF(B8&gt;0,B7/B8,0)</x:f>
        <x:v>0</x:v>
      </x:c>
      <x:c r="C9" t="str">
        <x:v>BLOCKED</x:v>
      </x:c>
      <x:c r="D9" t="str">
        <x:v>Required gross profit / gross margin</x:v>
      </x:c>
    </x:row>
    <x:row r="10">
      <x:c r="A10" t="str">
        <x:v>Approved revenue plan</x:v>
      </x:c>
      <x:c r="B10" s="14" t="n">
        <x:v>0</x:v>
      </x:c>
      <x:c r="C10" t="str">
        <x:v>NOT_AVAILABLE</x:v>
      </x:c>
      <x:c r="D10" t="str">
        <x:v>No invented sales</x:v>
      </x:c>
    </x:row>
    <x:row r="11">
      <x:c r="A11" t="str">
        <x:v>Conclusion</x:v>
      </x:c>
      <x:c r="B11" t="str">
        <x:v>NOT YET SUPPORTABLE</x:v>
      </x:c>
      <x:c r="C11" t="str">
        <x:v>DECISION_REQUIRED</x:v>
      </x:c>
      <x:c r="D11" t="str">
        <x:v>Price, volume, COGS, margin and timing are missing</x:v>
      </x:c>
    </x:row>
    <x:row r="14">
      <x:c r="A14" s="8" t="str">
        <x:v>REQUIRED COMMERCIAL DRIVERS</x:v>
      </x:c>
      <x:c r="B14" s="8" t="str">
        <x:v>REQUIRED COMMERCIAL DRIVERS</x:v>
      </x:c>
      <x:c r="C14" s="8" t="str">
        <x:v>REQUIRED COMMERCIAL DRIVERS</x:v>
      </x:c>
      <x:c r="D14" s="8" t="str">
        <x:v>REQUIRED COMMERCIAL DRIVERS</x:v>
      </x:c>
      <x:c r="E14" s="8" t="str">
        <x:v>REQUIRED COMMERCIAL DRIVERS</x:v>
      </x:c>
      <x:c r="F14" s="8" t="str">
        <x:v>REQUIRED COMMERCIAL DRIVERS</x:v>
      </x:c>
      <x:c r="G14" s="8" t="str">
        <x:v>REQUIRED COMMERCIAL DRIVERS</x:v>
      </x:c>
      <x:c r="H14" s="8" t="str">
        <x:v>REQUIRED COMMERCIAL DRIVERS</x:v>
      </x:c>
    </x:row>
    <x:row r="15">
      <x:c r="A15" s="13" t="str">
        <x:v>Driver</x:v>
      </x:c>
      <x:c r="B15" s="13" t="str">
        <x:v>Current status</x:v>
      </x:c>
      <x:c r="C15" s="13" t="str">
        <x:v>Required evidence</x:v>
      </x:c>
      <x:c r="D15" s="13" t="str">
        <x:v>Owner</x:v>
      </x:c>
    </x:row>
    <x:row r="16">
      <x:c r="A16" t="str">
        <x:v>Sentinel price</x:v>
      </x:c>
      <x:c r="B16" t="str">
        <x:v>TO_VALIDATE</x:v>
      </x:c>
      <x:c r="C16" t="str">
        <x:v>Quote / offer and delivery scope</x:v>
      </x:c>
      <x:c r="D16" t="str">
        <x:v>CEO / Engineering</x:v>
      </x:c>
    </x:row>
    <x:row r="17">
      <x:c r="A17" t="str">
        <x:v>Rover price</x:v>
      </x:c>
      <x:c r="B17" t="str">
        <x:v>TO_VALIDATE</x:v>
      </x:c>
      <x:c r="C17" t="str">
        <x:v>Quote / offer and delivery scope</x:v>
      </x:c>
      <x:c r="D17" t="str">
        <x:v>CEO / Engineering</x:v>
      </x:c>
    </x:row>
    <x:row r="18">
      <x:c r="A18" t="str">
        <x:v>Hardware COGS</x:v>
      </x:c>
      <x:c r="B18" t="str">
        <x:v>TO_QUOTE</x:v>
      </x:c>
      <x:c r="C18" t="str">
        <x:v>BOM, freight, duties, integration labour</x:v>
      </x:c>
      <x:c r="D18" t="str">
        <x:v>Operations</x:v>
      </x:c>
    </x:row>
    <x:row r="19">
      <x:c r="A19" t="str">
        <x:v>SaaS MRR</x:v>
      </x:c>
      <x:c r="B19" t="str">
        <x:v>TO_VALIDATE</x:v>
      </x:c>
      <x:c r="C19" t="str">
        <x:v>Packaging and willingness-to-pay evidence</x:v>
      </x:c>
      <x:c r="D19" t="str">
        <x:v>CEO</x:v>
      </x:c>
    </x:row>
    <x:row r="20">
      <x:c r="A20" t="str">
        <x:v>Gross margin</x:v>
      </x:c>
      <x:c r="B20" t="str">
        <x:v>TO_VALIDATE</x:v>
      </x:c>
      <x:c r="C20" t="str">
        <x:v>Price less evidenced variable cost</x:v>
      </x:c>
      <x:c r="D20" t="str">
        <x:v>Finance</x:v>
      </x:c>
    </x:row>
    <x:row r="21">
      <x:c r="A21" t="str">
        <x:v>Sales volume</x:v>
      </x:c>
      <x:c r="B21" t="str">
        <x:v>TO_VALIDATE</x:v>
      </x:c>
      <x:c r="C21" t="str">
        <x:v>Pipeline with probability and timing</x:v>
      </x:c>
      <x:c r="D21" t="str">
        <x:v>CEO</x:v>
      </x:c>
    </x:row>
    <x:row r="22">
      <x:c r="A22" t="str">
        <x:v>Cash collection timing</x:v>
      </x:c>
      <x:c r="B22" t="str">
        <x:v>TO_VALIDATE</x:v>
      </x:c>
      <x:c r="C22" t="str">
        <x:v>Contract and payment terms</x:v>
      </x:c>
      <x:c r="D22" t="str">
        <x:v>Finance</x:v>
      </x:c>
    </x:row>
    <x:row r="23">
      <x:c r="A23" t="str">
        <x:v>Support cost</x:v>
      </x:c>
      <x:c r="B23" t="str">
        <x:v>TO_VALIDATE</x:v>
      </x:c>
      <x:c r="C23" t="str">
        <x:v>Service design and field data</x:v>
      </x:c>
      <x:c r="D23" t="str">
        <x:v>Operations</x:v>
      </x:c>
    </x:row>
  </x:sheetData>
  <x:mergeCells>
    <x:mergeCell ref="A1:H2"/>
    <x:mergeCell ref="A14:H1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43" hidden="0" customWidth="1"/>
    <x:col min="3" max="3" width="43" hidden="0" customWidth="1"/>
    <x:col min="4" max="4" width="43" hidden="0" customWidth="1"/>
    <x:col min="5" max="5" width="27" hidden="0" customWidth="1"/>
  </x:cols>
  <x:sheetData>
    <x:row r="1" ht="32" customHeight="1">
      <x:c r="A1" s="68" t="str">
        <x:v>Internal Negotiation View — Confidential Planning</x:v>
      </x:c>
      <x:c r="B1" s="68" t="str">
        <x:v>Internal Negotiation View — Confidential Planning</x:v>
      </x:c>
      <x:c r="C1" s="68" t="str">
        <x:v>Internal Negotiation View — Confidential Planning</x:v>
      </x:c>
      <x:c r="D1" s="68" t="str">
        <x:v>Internal Negotiation View — Confidential Planning</x:v>
      </x:c>
      <x:c r="E1" s="68" t="str">
        <x:v>Internal Negotiation View — Confidential Planning</x:v>
      </x:c>
      <x:c r="F1" s="3" t="str">
        <x:v>Internal Negotiation View — Confidential Planning</x:v>
      </x:c>
      <x:c r="G1" s="3" t="str">
        <x:v>Internal Negotiation View — Confidential Planning</x:v>
      </x:c>
      <x:c r="H1" s="3" t="str">
        <x:v>Internal Negotiation View — Confidential Planning</x:v>
      </x:c>
    </x:row>
    <x:row r="2" ht="32" customHeight="1">
      <x:c r="A2" s="3" t="str">
        <x:v>Internal Negotiation View — Confidential Planning</x:v>
      </x:c>
      <x:c r="B2" s="3" t="str">
        <x:v>Internal Negotiation View — Confidential Planning</x:v>
      </x:c>
      <x:c r="C2" s="3" t="str">
        <x:v>Internal Negotiation View — Confidential Planning</x:v>
      </x:c>
      <x:c r="D2" s="3" t="str">
        <x:v>Internal Negotiation View — Confidential Planning</x:v>
      </x:c>
      <x:c r="E2" s="3" t="str">
        <x:v>Internal Negotiation View — Confidential Planning</x:v>
      </x:c>
      <x:c r="F2" s="3" t="str">
        <x:v>Internal Negotiation View — Confidential Planning</x:v>
      </x:c>
      <x:c r="G2" s="3" t="str">
        <x:v>Internal Negotiation View — Confidential Planning</x:v>
      </x:c>
      <x:c r="H2" s="3" t="str">
        <x:v>Internal Negotiation View — Confidential Planning</x:v>
      </x:c>
    </x:row>
    <x:row r="4">
      <x:c r="A4" s="13" t="str">
        <x:v>Topic</x:v>
      </x:c>
      <x:c r="B4" s="13" t="str">
        <x:v>Position</x:v>
      </x:c>
      <x:c r="C4" s="13" t="str">
        <x:v>Evidence</x:v>
      </x:c>
      <x:c r="D4" s="13" t="str">
        <x:v>Guardrail</x:v>
      </x:c>
      <x:c r="E4" s="13" t="str">
        <x:v>Status</x:v>
      </x:c>
    </x:row>
    <x:row r="5">
      <x:c r="A5" t="str">
        <x:v>Capital quantum</x:v>
      </x:c>
      <x:c r="B5" t="str">
        <x:v>Use model envelope, not legacy ask</x:v>
      </x:c>
      <x:c r="C5" t="str">
        <x:v>Scenario Summary</x:v>
      </x:c>
      <x:c r="D5" t="str">
        <x:v>Do not present as approved</x:v>
      </x:c>
      <x:c r="E5" t="str">
        <x:v>DECISION_REQUIRED</x:v>
      </x:c>
    </x:row>
    <x:row r="6">
      <x:c r="A6" t="str">
        <x:v>Valuation</x:v>
      </x:c>
      <x:c r="B6" t="str">
        <x:v>Show sensitivity, not a single truth</x:v>
      </x:c>
      <x:c r="C6" t="str">
        <x:v>Round Analysis</x:v>
      </x:c>
      <x:c r="D6" t="str">
        <x:v>No current pre-money until approved</x:v>
      </x:c>
      <x:c r="E6" t="str">
        <x:v>DECISION_REQUIRED</x:v>
      </x:c>
    </x:row>
    <x:row r="7">
      <x:c r="A7" t="str">
        <x:v>Dilution</x:v>
      </x:c>
      <x:c r="B7" t="str">
        <x:v>Investment / post-money only</x:v>
      </x:c>
      <x:c r="C7" t="str">
        <x:v>Formula table</x:v>
      </x:c>
      <x:c r="D7" t="str">
        <x:v>Include option pool only when cap table exists</x:v>
      </x:c>
      <x:c r="E7" t="str">
        <x:v>TO_VALIDATE</x:v>
      </x:c>
    </x:row>
    <x:row r="8">
      <x:c r="A8" t="str">
        <x:v>Instrument</x:v>
      </x:c>
      <x:c r="B8" t="str">
        <x:v>Compare equity / convertible / strategic / grant</x:v>
      </x:c>
      <x:c r="C8" t="str">
        <x:v>Round Analysis</x:v>
      </x:c>
      <x:c r="D8" t="str">
        <x:v>Legal review before term discussion</x:v>
      </x:c>
      <x:c r="E8" t="str">
        <x:v>TO_DECIDE</x:v>
      </x:c>
    </x:row>
    <x:row r="9">
      <x:c r="A9" t="str">
        <x:v>Milestone logic</x:v>
      </x:c>
      <x:c r="B9" t="str">
        <x:v>Capital buys evidence and deployable assets</x:v>
      </x:c>
      <x:c r="C9" t="str">
        <x:v>Use of Funds</x:v>
      </x:c>
      <x:c r="D9" t="str">
        <x:v>Tie tranche to evidence gates</x:v>
      </x:c>
      <x:c r="E9" t="str">
        <x:v>MODELLED</x:v>
      </x:c>
    </x:row>
    <x:row r="10">
      <x:c r="A10" t="str">
        <x:v>EBITDA target</x:v>
      </x:c>
      <x:c r="B10" t="str">
        <x:v>Keep TARGET_TO_VALIDATE</x:v>
      </x:c>
      <x:c r="C10" t="str">
        <x:v>EBITDA Target</x:v>
      </x:c>
      <x:c r="D10" t="str">
        <x:v>Never call it forecast</x:v>
      </x:c>
      <x:c r="E10" t="str">
        <x:v>BLOCKED_BY_INPUTS</x:v>
      </x:c>
    </x:row>
    <x:row r="11">
      <x:c r="A11" t="str">
        <x:v>Legacy terms</x:v>
      </x:c>
      <x:c r="B11" t="str">
        <x:v>Historical only</x:v>
      </x:c>
      <x:c r="C11" t="str">
        <x:v>Canonical truth quarantine</x:v>
      </x:c>
      <x:c r="D11" t="str">
        <x:v>Never reactivate implicitly</x:v>
      </x:c>
      <x:c r="E11" t="str">
        <x:v>QUARANTINED</x:v>
      </x:c>
    </x:row>
    <x:row r="12">
      <x:c r="A12" t="str">
        <x:v>Walk-away issues</x:v>
      </x:c>
      <x:c r="B12" t="str">
        <x:v>Control, exclusivity, IP, unsupported warranties</x:v>
      </x:c>
      <x:c r="C12" t="str">
        <x:v>Legal diligence</x:v>
      </x:c>
      <x:c r="D12" t="str">
        <x:v>Founder/board approval required</x:v>
      </x:c>
      <x:c r="E12" t="str">
        <x:v>TO_DECIDE</x:v>
      </x:c>
    </x:row>
  </x:sheetData>
  <x:mergeCells>
    <x:mergeCell ref="A1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75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32" customHeight="1">
      <x:c r="A1" s="68" t="str">
        <x:v>Investor Financial Q&amp;A — Derived from Model</x:v>
      </x:c>
      <x:c r="B1" s="68" t="str">
        <x:v>Investor Financial Q&amp;A — Derived from Model</x:v>
      </x:c>
      <x:c r="C1" s="68" t="str">
        <x:v>Investor Financial Q&amp;A — Derived from Model</x:v>
      </x:c>
      <x:c r="D1" s="68" t="str">
        <x:v>Investor Financial Q&amp;A — Derived from Model</x:v>
      </x:c>
      <x:c r="E1" s="68" t="str">
        <x:v>Investor Financial Q&amp;A — Derived from Model</x:v>
      </x:c>
      <x:c r="F1" s="3" t="str">
        <x:v>Investor Financial Q&amp;A — Derived from Model</x:v>
      </x:c>
    </x:row>
    <x:row r="2" ht="32" customHeight="1">
      <x:c r="A2" s="3" t="str">
        <x:v>Investor Financial Q&amp;A — Derived from Model</x:v>
      </x:c>
      <x:c r="B2" s="3" t="str">
        <x:v>Investor Financial Q&amp;A — Derived from Model</x:v>
      </x:c>
      <x:c r="C2" s="3" t="str">
        <x:v>Investor Financial Q&amp;A — Derived from Model</x:v>
      </x:c>
      <x:c r="D2" s="3" t="str">
        <x:v>Investor Financial Q&amp;A — Derived from Model</x:v>
      </x:c>
      <x:c r="E2" s="3" t="str">
        <x:v>Investor Financial Q&amp;A — Derived from Model</x:v>
      </x:c>
      <x:c r="F2" s="3" t="str">
        <x:v>Investor Financial Q&amp;A — Derived from Model</x:v>
      </x:c>
    </x:row>
    <x:row r="4">
      <x:c r="A4" s="13" t="str">
        <x:v>Question</x:v>
      </x:c>
      <x:c r="B4" s="13" t="str">
        <x:v>Model-derived answer</x:v>
      </x:c>
      <x:c r="C4" s="13" t="str">
        <x:v>Classification</x:v>
      </x:c>
      <x:c r="D4" s="13" t="str">
        <x:v>Evidence sheet</x:v>
      </x:c>
      <x:c r="E4" s="13" t="str">
        <x:v>Next evidence</x:v>
      </x:c>
    </x:row>
    <x:row r="5" ht="44" customHeight="1">
      <x:c r="A5" t="str">
        <x:v>How much are you raising?</x:v>
      </x:c>
      <x:c r="B5" t="str">
        <x:v>The current ask is not approved. The provisional model produces 400k / 890k / 1660k EUR envelopes.</x:v>
      </x:c>
      <x:c r="C5" t="str">
        <x:v>SCENARIO</x:v>
      </x:c>
      <x:c r="D5" t="str">
        <x:v>Scenario Summary</x:v>
      </x:c>
      <x:c r="E5" t="str">
        <x:v>Founder approval</x:v>
      </x:c>
    </x:row>
    <x:row r="6" ht="44" customHeight="1">
      <x:c r="A6" t="str">
        <x:v>What does the capital create?</x:v>
      </x:c>
      <x:c r="B6" t="str">
        <x:v>A commercial rover platform and integration, an instrumented Sentinel iteration, a selected drone path, field evidence, a versioned data foundation and an IP/corporate baseline.</x:v>
      </x:c>
      <x:c r="C6" t="str">
        <x:v>MODELLED</x:v>
      </x:c>
      <x:c r="D6" t="str">
        <x:v>Use of Funds</x:v>
      </x:c>
      <x:c r="E6" t="str">
        <x:v>Supplier and engineering evidence</x:v>
      </x:c>
    </x:row>
    <x:row r="7" ht="44" customHeight="1">
      <x:c r="A7" t="str">
        <x:v>What is runway?</x:v>
      </x:c>
      <x:c r="B7" t="str">
        <x:v>Runway depends on the selected envelope and the scenario average burn; the workbook provides formula-driven months for standard round sizes.</x:v>
      </x:c>
      <x:c r="C7" t="str">
        <x:v>MODELLED_NOT_APPROVED</x:v>
      </x:c>
      <x:c r="D7" t="str">
        <x:v>Scenario Summary</x:v>
      </x:c>
      <x:c r="E7" t="str">
        <x:v>Scenario approval</x:v>
      </x:c>
    </x:row>
    <x:row r="8" ht="44" customHeight="1">
      <x:c r="A8" t="str">
        <x:v>Why no revenue forecast?</x:v>
      </x:c>
      <x:c r="B8" t="str">
        <x:v>Price, volume, conversion, COGS, gross margin and collection timing are not approved. Revenue remains zero to avoid invented sales.</x:v>
      </x:c>
      <x:c r="C8" t="str">
        <x:v>CONFIRMED_GAP</x:v>
      </x:c>
      <x:c r="D8" t="str">
        <x:v>Assumptions</x:v>
      </x:c>
      <x:c r="E8" t="str">
        <x:v>Commercial evidence</x:v>
      </x:c>
    </x:row>
    <x:row r="9" ht="44" customHeight="1">
      <x:c r="A9" t="str">
        <x:v>Can you support €500k EBITDA in 12 months?</x:v>
      </x:c>
      <x:c r="B9" t="str">
        <x:v>Not yet. It remains TARGET_TO_VALIDATE and is blocked by missing price, volume, margin and timing drivers.</x:v>
      </x:c>
      <x:c r="C9" t="str">
        <x:v>TARGET_TO_VALIDATE</x:v>
      </x:c>
      <x:c r="D9" t="str">
        <x:v>EBITDA Target</x:v>
      </x:c>
      <x:c r="E9" t="str">
        <x:v>Commercial model</x:v>
      </x:c>
    </x:row>
    <x:row r="10" ht="44" customHeight="1">
      <x:c r="A10" t="str">
        <x:v>What valuation are you seeking?</x:v>
      </x:c>
      <x:c r="B10" t="str">
        <x:v>No current valuation is approved. The model shows dilution sensitivity across round sizes and pre-money scenarios only.</x:v>
      </x:c>
      <x:c r="C10" t="str">
        <x:v>DECISION_REQUIRED</x:v>
      </x:c>
      <x:c r="D10" t="str">
        <x:v>Round Analysis</x:v>
      </x:c>
      <x:c r="E10" t="str">
        <x:v>Founder/board decision</x:v>
      </x:c>
    </x:row>
    <x:row r="11" ht="44" customHeight="1">
      <x:c r="A11" t="str">
        <x:v>What are the largest uncertainties?</x:v>
      </x:c>
      <x:c r="B11" t="str">
        <x:v>Loaded team cost, hardware quotes, selected configurations, regulatory path, field validation scope and commercial activation drivers.</x:v>
      </x:c>
      <x:c r="C11" t="str">
        <x:v>OPEN_INPUTS</x:v>
      </x:c>
      <x:c r="D11" t="str">
        <x:v>Assumptions</x:v>
      </x:c>
      <x:c r="E11" t="str">
        <x:v>Named owners</x:v>
      </x:c>
    </x:row>
  </x:sheetData>
  <x:mergeCells>
    <x:mergeCell ref="A1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4" hidden="0" customWidth="1"/>
  </x:cols>
  <x:sheetData>
    <x:row r="1" ht="32" customHeight="1">
      <x:c r="A1" s="3" t="str">
        <x:v>Model Checks</x:v>
      </x:c>
      <x:c r="B1" s="3" t="str">
        <x:v>Model Checks</x:v>
      </x:c>
      <x:c r="C1" s="3" t="str">
        <x:v>Model Checks</x:v>
      </x:c>
      <x:c r="D1" s="3" t="str">
        <x:v>Model Checks</x:v>
      </x:c>
      <x:c r="E1" s="3" t="str">
        <x:v>Model Checks</x:v>
      </x:c>
      <x:c r="F1" s="3" t="str">
        <x:v>Model Checks</x:v>
      </x:c>
      <x:c r="G1" s="3" t="str">
        <x:v>Model Checks</x:v>
      </x:c>
    </x:row>
    <x:row r="2" ht="32" customHeight="1">
      <x:c r="A2" s="3" t="str">
        <x:v>Model Checks</x:v>
      </x:c>
      <x:c r="B2" s="3" t="str">
        <x:v>Model Checks</x:v>
      </x:c>
      <x:c r="C2" s="3" t="str">
        <x:v>Model Checks</x:v>
      </x:c>
      <x:c r="D2" s="3" t="str">
        <x:v>Model Checks</x:v>
      </x:c>
      <x:c r="E2" s="3" t="str">
        <x:v>Model Checks</x:v>
      </x:c>
      <x:c r="F2" s="3" t="str">
        <x:v>Model Checks</x:v>
      </x:c>
      <x:c r="G2" s="3" t="str">
        <x:v>Model Checks</x:v>
      </x:c>
    </x:row>
    <x:row r="4">
      <x:c r="A4" s="13" t="str">
        <x:v>Check</x:v>
      </x:c>
      <x:c r="B4" s="13" t="str">
        <x:v>Actual</x:v>
      </x:c>
      <x:c r="C4" s="13" t="str">
        <x:v>Expected</x:v>
      </x:c>
      <x:c r="D4" s="13" t="str">
        <x:v>Difference</x:v>
      </x:c>
      <x:c r="E4" s="13" t="str">
        <x:v>Tolerance</x:v>
      </x:c>
      <x:c r="F4" s="13" t="str">
        <x:v>Status</x:v>
      </x:c>
      <x:c r="G4" s="13" t="str">
        <x:v>Where to fix</x:v>
      </x:c>
    </x:row>
    <x:row r="5">
      <x:c r="A5" t="str">
        <x:v>Scenario count</x:v>
      </x:c>
      <x:c r="B5" t="n">
        <x:f>3</x:f>
        <x:v>3</x:v>
      </x:c>
      <x:c r="C5" t="n">
        <x:v>3</x:v>
      </x:c>
      <x:c r="D5" t="n">
        <x:f>B5-C5</x:f>
        <x:v>0</x:v>
      </x:c>
      <x:c r="E5" t="n">
        <x:v>0</x:v>
      </x:c>
      <x:c r="F5" t="str">
        <x:f>IF(ABS(D5)&lt;=E5,"OK","FAIL")</x:f>
        <x:v>OK</x:v>
      </x:c>
      <x:c r="G5" t="str">
        <x:v>Builder / scenario definitions</x:v>
      </x:c>
    </x:row>
    <x:row r="6">
      <x:c r="A6" t="str">
        <x:v>Revenue remains zero</x:v>
      </x:c>
      <x:c r="B6" t="n">
        <x:f>SUM('Monthly Model'!C9:R9)+SUM('Monthly Model'!C17:R17)+SUM('Monthly Model'!C25:R25)</x:f>
        <x:v>0</x:v>
      </x:c>
      <x:c r="C6" t="n">
        <x:v>0</x:v>
      </x:c>
      <x:c r="D6" t="n">
        <x:f>B6-C6</x:f>
        <x:v>0</x:v>
      </x:c>
      <x:c r="E6" t="n">
        <x:v>0</x:v>
      </x:c>
      <x:c r="F6" t="str">
        <x:f>IF(ABS(D6)&lt;=E6,"OK","FAIL")</x:f>
        <x:v>OK</x:v>
      </x:c>
      <x:c r="G6" t="str">
        <x:v>Assumptions / Revenue drivers</x:v>
      </x:c>
    </x:row>
    <x:row r="7">
      <x:c r="A7" t="str">
        <x:v>Base capital ties</x:v>
      </x:c>
      <x:c r="B7" t="n">
        <x:f>'Scenario Summary'!F6</x:f>
        <x:v>887628.5000000001</x:v>
      </x:c>
      <x:c r="C7" t="n">
        <x:v>887628.5</x:v>
      </x:c>
      <x:c r="D7" t="n">
        <x:f>B7-C7</x:f>
        <x:v>1.1641532182693481e-10</x:v>
      </x:c>
      <x:c r="E7" t="n">
        <x:v>1</x:v>
      </x:c>
      <x:c r="F7" t="str">
        <x:f>IF(ABS(D7)&lt;=E7,"OK","FAIL")</x:f>
        <x:v>OK</x:v>
      </x:c>
      <x:c r="G7" t="str">
        <x:v>Scenario Summary</x:v>
      </x:c>
    </x:row>
    <x:row r="8">
      <x:c r="A8" t="str">
        <x:v>Minimum envelope positive</x:v>
      </x:c>
      <x:c r="B8" t="n">
        <x:f>IF(400000&gt;0,1,0)</x:f>
        <x:v>1</x:v>
      </x:c>
      <x:c r="C8" t="n">
        <x:v>1</x:v>
      </x:c>
      <x:c r="D8" t="n">
        <x:f>B8-C8</x:f>
        <x:v>0</x:v>
      </x:c>
      <x:c r="E8" t="n">
        <x:v>0</x:v>
      </x:c>
      <x:c r="F8" t="str">
        <x:f>IF(ABS(D8)&lt;=E8,"OK","FAIL")</x:f>
        <x:v>OK</x:v>
      </x:c>
      <x:c r="G8" t="str">
        <x:v>Assumptions</x:v>
      </x:c>
    </x:row>
    <x:row r="9">
      <x:c r="A9" t="str">
        <x:v>Current round remains unapproved</x:v>
      </x:c>
      <x:c r="B9" t="n">
        <x:f>0</x:f>
        <x:v>0</x:v>
      </x:c>
      <x:c r="C9" t="n">
        <x:v>0</x:v>
      </x:c>
      <x:c r="D9" t="n">
        <x:f>B9-C9</x:f>
        <x:v>0</x:v>
      </x:c>
      <x:c r="E9" t="n">
        <x:v>0</x:v>
      </x:c>
      <x:c r="F9" t="str">
        <x:f>IF(ABS(D9)&lt;=E9,"OK","FAIL")</x:f>
        <x:v>OK</x:v>
      </x:c>
      <x:c r="G9" t="str">
        <x:v>Canonical truth</x:v>
      </x:c>
    </x:row>
    <x:row r="10">
      <x:c r="A10" t="str">
        <x:v>Input rows classified</x:v>
      </x:c>
      <x:c r="B10" t="n">
        <x:f>13</x:f>
        <x:v>13</x:v>
      </x:c>
      <x:c r="C10" t="n">
        <x:v>13</x:v>
      </x:c>
      <x:c r="D10" t="n">
        <x:f>B10-C10</x:f>
        <x:v>0</x:v>
      </x:c>
      <x:c r="E10" t="n">
        <x:v>0</x:v>
      </x:c>
      <x:c r="F10" t="str">
        <x:f>IF(ABS(D10)&lt;=E10,"OK","FAIL")</x:f>
        <x:v>OK</x:v>
      </x:c>
      <x:c r="G10" t="str">
        <x:v>Assumptions</x:v>
      </x:c>
    </x:row>
    <x:row r="12">
      <x:c r="A12" t="str">
        <x:v>MODEL STATUS</x:v>
      </x:c>
      <x:c r="B12" s="70" t="str">
        <x:f>IF(COUNTIF(F5:F10,"FAIL")=0,"PASS","FAIL")</x:f>
        <x:v>PASS</x:v>
      </x:c>
    </x:row>
    <x:row r="13">
      <x:c r="A13" t="str">
        <x:v>Open input status</x:v>
      </x:c>
      <x:c r="B13" t="str">
        <x:v>READY_WITH_INPUTS_PENDING</x:v>
      </x:c>
    </x:row>
  </x:sheetData>
  <x:mergeCells>
    <x:mergeCell ref="A1:G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65" hidden="0" customWidth="1"/>
    <x:col min="8" max="8" width="20" hidden="0" customWidth="1"/>
    <x:col min="9" max="9" width="55" hidden="0" customWidth="1"/>
  </x:cols>
  <x:sheetData>
    <x:row r="1" ht="32" customHeight="1">
      <x:c r="A1" s="68" t="str">
        <x:v>Sources, Evidence &amp; Version Log</x:v>
      </x:c>
      <x:c r="B1" s="68" t="str">
        <x:v>Sources, Evidence &amp; Version Log</x:v>
      </x:c>
      <x:c r="C1" s="68" t="str">
        <x:v>Sources, Evidence &amp; Version Log</x:v>
      </x:c>
      <x:c r="D1" s="68" t="str">
        <x:v>Sources, Evidence &amp; Version Log</x:v>
      </x:c>
      <x:c r="E1" s="68" t="str">
        <x:v>Sources, Evidence &amp; Version Log</x:v>
      </x:c>
      <x:c r="F1" s="68" t="str">
        <x:v>Sources, Evidence &amp; Version Log</x:v>
      </x:c>
      <x:c r="G1" s="68" t="str">
        <x:v>Sources, Evidence &amp; Version Log</x:v>
      </x:c>
      <x:c r="H1" s="68" t="str">
        <x:v>Sources, Evidence &amp; Version Log</x:v>
      </x:c>
      <x:c r="I1" s="68" t="str">
        <x:v>Sources, Evidence &amp; Version Log</x:v>
      </x:c>
    </x:row>
    <x:row r="2" ht="32" customHeight="1">
      <x:c r="A2" s="3" t="str">
        <x:v>Sources, Evidence &amp; Version Log</x:v>
      </x:c>
      <x:c r="B2" s="3" t="str">
        <x:v>Sources, Evidence &amp; Version Log</x:v>
      </x:c>
      <x:c r="C2" s="3" t="str">
        <x:v>Sources, Evidence &amp; Version Log</x:v>
      </x:c>
      <x:c r="D2" s="3" t="str">
        <x:v>Sources, Evidence &amp; Version Log</x:v>
      </x:c>
      <x:c r="E2" s="3" t="str">
        <x:v>Sources, Evidence &amp; Version Log</x:v>
      </x:c>
      <x:c r="F2" s="3" t="str">
        <x:v>Sources, Evidence &amp; Version Log</x:v>
      </x:c>
      <x:c r="G2" s="3" t="str">
        <x:v>Sources, Evidence &amp; Version Log</x:v>
      </x:c>
      <x:c r="H2" s="3" t="str">
        <x:v>Sources, Evidence &amp; Version Log</x:v>
      </x:c>
      <x:c r="I2" s="3" t="str">
        <x:v>Sources, Evidence &amp; Version Log</x:v>
      </x:c>
    </x:row>
    <x:row r="4">
      <x:c r="A4" s="13" t="str">
        <x:v>ID</x:v>
      </x:c>
      <x:c r="B4" s="13" t="str">
        <x:v>Item</x:v>
      </x:c>
      <x:c r="C4" s="13" t="str">
        <x:v>Value</x:v>
      </x:c>
      <x:c r="D4" s="13" t="str">
        <x:v>Units</x:v>
      </x:c>
      <x:c r="E4" s="13" t="str">
        <x:v>As of</x:v>
      </x:c>
      <x:c r="F4" s="13" t="str">
        <x:v>Source type</x:v>
      </x:c>
      <x:c r="G4" s="13" t="str">
        <x:v>Source / ref</x:v>
      </x:c>
      <x:c r="H4" s="13" t="str">
        <x:v>Owner</x:v>
      </x:c>
      <x:c r="I4" s="13" t="str">
        <x:v>Notes</x:v>
      </x:c>
    </x:row>
    <x:row r="5">
      <x:c r="A5" t="str">
        <x:v>SRC-01</x:v>
      </x:c>
      <x:c r="B5" t="str">
        <x:v>Sentinel preliminary BOM</x:v>
      </x:c>
      <x:c r="C5" t="str">
        <x:v>€2,412–€9,457</x:v>
      </x:c>
      <x:c r="D5" t="str">
        <x:v>EUR</x:v>
      </x:c>
      <x:c r="E5" t="str">
        <x:v>2026-08-16</x:v>
      </x:c>
      <x:c r="F5" t="str">
        <x:v>DOCUMENTED_ESTIMATE</x:v>
      </x:c>
      <x:c r="G5" t="str">
        <x:v>references/source-material/sentinel/engineering/04_bom_costes.csv</x:v>
      </x:c>
      <x:c r="H5" t="str">
        <x:v>Engineering</x:v>
      </x:c>
      <x:c r="I5" t="str">
        <x:v>Excludes supplier-only dock quote; historical configuration not selected</x:v>
      </x:c>
    </x:row>
    <x:row r="6">
      <x:c r="A6" t="str">
        <x:v>SRC-02</x:v>
      </x:c>
      <x:c r="B6" t="str">
        <x:v>Canonical product and finance truth</x:v>
      </x:c>
      <x:c r="C6" t="str">
        <x:v>Round terms null; EBITDA target to validate</x:v>
      </x:c>
      <x:c r="D6" t="str">
        <x:v>mixed</x:v>
      </x:c>
      <x:c r="E6" t="str">
        <x:v>2026-08-16</x:v>
      </x:c>
      <x:c r="F6" t="str">
        <x:v>CANONICAL</x:v>
      </x:c>
      <x:c r="G6" t="str">
        <x:v>source-of-truth/new-york-2026.json</x:v>
      </x:c>
      <x:c r="H6" t="str">
        <x:v>Founder</x:v>
      </x:c>
      <x:c r="I6" t="str">
        <x:v>Governs external wording</x:v>
      </x:c>
    </x:row>
    <x:row r="7">
      <x:c r="A7" t="str">
        <x:v>SRC-03</x:v>
      </x:c>
      <x:c r="B7" t="str">
        <x:v>Historical fundraising scenarios</x:v>
      </x:c>
      <x:c r="C7" t="str">
        <x:v>300k / 500k / 7.5m examples</x:v>
      </x:c>
      <x:c r="D7" t="str">
        <x:v>EUR</x:v>
      </x:c>
      <x:c r="E7" t="str">
        <x:v>2026-08-16</x:v>
      </x:c>
      <x:c r="F7" t="str">
        <x:v>HISTORICAL</x:v>
      </x:c>
      <x:c r="G7" t="str">
        <x:v>docs/investor-meeting-new-york-2026/financial/fundraising-scenarios.csv</x:v>
      </x:c>
      <x:c r="H7" t="str">
        <x:v>Finance</x:v>
      </x:c>
      <x:c r="I7" t="str">
        <x:v>Quarantined; never active terms</x:v>
      </x:c>
    </x:row>
    <x:row r="8">
      <x:c r="A8" t="str">
        <x:v>SRC-04</x:v>
      </x:c>
      <x:c r="B8" t="str">
        <x:v>Management planning inputs</x:v>
      </x:c>
      <x:c r="C8" t="str">
        <x:v>See Assumptions</x:v>
      </x:c>
      <x:c r="D8" t="str">
        <x:v>EUR</x:v>
      </x:c>
      <x:c r="E8" t="str">
        <x:v>2026-08-16</x:v>
      </x:c>
      <x:c r="F8" t="str">
        <x:v>MANAGEMENT_ASSUMPTION</x:v>
      </x:c>
      <x:c r="G8" t="str">
        <x:v>This workbook</x:v>
      </x:c>
      <x:c r="H8" t="str">
        <x:v>Founder / Finance</x:v>
      </x:c>
      <x:c r="I8" t="str">
        <x:v>Provisional until owner approval</x:v>
      </x:c>
    </x:row>
    <x:row r="11">
      <x:c r="A11" s="8" t="str">
        <x:v>VERSION HISTORY</x:v>
      </x:c>
      <x:c r="B11" s="8" t="str">
        <x:v>VERSION HISTORY</x:v>
      </x:c>
      <x:c r="C11" s="8" t="str">
        <x:v>VERSION HISTORY</x:v>
      </x:c>
      <x:c r="D11" s="8" t="str">
        <x:v>VERSION HISTORY</x:v>
      </x:c>
      <x:c r="E11" s="8" t="str">
        <x:v>VERSION HISTORY</x:v>
      </x:c>
      <x:c r="F11" s="8" t="str">
        <x:v>VERSION HISTORY</x:v>
      </x:c>
      <x:c r="G11" s="8" t="str">
        <x:v>VERSION HISTORY</x:v>
      </x:c>
      <x:c r="H11" s="8" t="str">
        <x:v>VERSION HISTORY</x:v>
      </x:c>
      <x:c r="I11" s="8" t="str">
        <x:v>VERSION HISTORY</x:v>
      </x:c>
    </x:row>
    <x:row r="12">
      <x:c r="A12" s="13" t="str">
        <x:v>Version</x:v>
      </x:c>
      <x:c r="B12" s="13" t="str">
        <x:v>Date</x:v>
      </x:c>
      <x:c r="C12" s="13" t="str">
        <x:v>Change</x:v>
      </x:c>
      <x:c r="D12" s="13" t="str">
        <x:v>Status</x:v>
      </x:c>
    </x:row>
    <x:row r="13">
      <x:c r="A13" t="str">
        <x:v>1.0</x:v>
      </x:c>
      <x:c r="B13" t="str">
        <x:v>2026-08-16</x:v>
      </x:c>
      <x:c r="C13" t="str">
        <x:v>Initial driver-based M0-M15 model and fundraising sensitivity</x:v>
      </x:c>
      <x:c r="D13" t="str">
        <x:v>MODELLED_NOT_APPROVED</x:v>
      </x:c>
    </x:row>
    <x:row r="14">
      <x:c r="A14" t="str">
        <x:v>Next</x:v>
      </x:c>
      <x:c r="B14" t="str">
        <x:v>TBD</x:v>
      </x:c>
      <x:c r="C14" t="str">
        <x:v>Replace provisional inputs with quotes, hiring plan and commercial drivers</x:v>
      </x:c>
      <x:c r="D14" t="str">
        <x:v>PENDING</x:v>
      </x:c>
    </x:row>
  </x:sheetData>
  <x:mergeCells>
    <x:mergeCell ref="A1:I2"/>
    <x:mergeCell ref="A11:I11"/>
  </x:mergeCells>
  <x:pageMargins left="0.7" right="0.7" top="0.75" bottom="0.75" header="0.3" footer="0.3"/>
</x:worksheet>
</file>